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de Pedidos" sheetId="1" r:id="rId5"/>
    <sheet state="visible" name="Tabla dinámica 1" sheetId="2" r:id="rId6"/>
  </sheets>
  <definedNames>
    <definedName hidden="1" localSheetId="0" name="_xlnm._FilterDatabase">'Seguimiento de Pedidos'!$A$3:$L$95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<sst xmlns="http://schemas.openxmlformats.org/spreadsheetml/2006/main" count="847" uniqueCount="158">
  <si>
    <t>CONTROL Y SEGUIMIENTO DE PIPELINE DE EMBARQUES (ALMACÉN LOCAL / TRÁNSITO / ALMACÉN CHINA / PRODUCCIÓN)</t>
  </si>
  <si>
    <t>ID Pedido</t>
  </si>
  <si>
    <t>NOMBRE</t>
  </si>
  <si>
    <t>Modelo / kVA</t>
  </si>
  <si>
    <t>Cant. (Uds)</t>
  </si>
  <si>
    <t>Modalidad</t>
  </si>
  <si>
    <t>Ubicación / Etapa</t>
  </si>
  <si>
    <t>Nro. BL / Doc</t>
  </si>
  <si>
    <t xml:space="preserve">Naviera / VENDIDO </t>
  </si>
  <si>
    <t>ETA (Llegada)</t>
  </si>
  <si>
    <t>Destino / Almacén</t>
  </si>
  <si>
    <t>Cliente Asignado / Estado</t>
  </si>
  <si>
    <t xml:space="preserve">SERIAL </t>
  </si>
  <si>
    <t>251028BFZA</t>
  </si>
  <si>
    <t>VEN246</t>
  </si>
  <si>
    <t>435KVA 3PH</t>
  </si>
  <si>
    <t>Vendido</t>
  </si>
  <si>
    <t xml:space="preserve">Vendido </t>
  </si>
  <si>
    <t>CHN3431178</t>
  </si>
  <si>
    <t>BARQUISIMETO</t>
  </si>
  <si>
    <t>llego</t>
  </si>
  <si>
    <t>HELADOS LA CASCADA</t>
  </si>
  <si>
    <t>SUM de Cant. (Uds)</t>
  </si>
  <si>
    <t>100KVA</t>
  </si>
  <si>
    <t>550KVA 3PH</t>
  </si>
  <si>
    <t xml:space="preserve">100KVA </t>
  </si>
  <si>
    <t>1250KVA</t>
  </si>
  <si>
    <t>Stock Local</t>
  </si>
  <si>
    <t>Alquilada</t>
  </si>
  <si>
    <t>1250KVA  440V</t>
  </si>
  <si>
    <t xml:space="preserve">PRESTAMO VICSON </t>
  </si>
  <si>
    <t>VALENCIA</t>
  </si>
  <si>
    <t>125KVA 1PH</t>
  </si>
  <si>
    <t>132KVA</t>
  </si>
  <si>
    <t>ALQUILADA</t>
  </si>
  <si>
    <t xml:space="preserve">132kva </t>
  </si>
  <si>
    <t>145KVA</t>
  </si>
  <si>
    <t>1562KVA</t>
  </si>
  <si>
    <t>156KVA</t>
  </si>
  <si>
    <t>VEN247</t>
  </si>
  <si>
    <t xml:space="preserve">156KVA </t>
  </si>
  <si>
    <t>375KVA 3PH</t>
  </si>
  <si>
    <t>180KVA</t>
  </si>
  <si>
    <t>20KVA 1PH</t>
  </si>
  <si>
    <t>212KVA</t>
  </si>
  <si>
    <t>250KVA</t>
  </si>
  <si>
    <t>250KVA 3PH</t>
  </si>
  <si>
    <t>27.5 1PH</t>
  </si>
  <si>
    <t>Compra Express</t>
  </si>
  <si>
    <t>27.5 3PH</t>
  </si>
  <si>
    <t>306KVA</t>
  </si>
  <si>
    <t>CHN3475357</t>
  </si>
  <si>
    <t>CMA</t>
  </si>
  <si>
    <t xml:space="preserve">306KVA </t>
  </si>
  <si>
    <t>MARACAIBO</t>
  </si>
  <si>
    <t>306KVA 3PH</t>
  </si>
  <si>
    <t xml:space="preserve">caracas </t>
  </si>
  <si>
    <t>33KVA 1 PH</t>
  </si>
  <si>
    <t>33KVA 1PH</t>
  </si>
  <si>
    <t>33KVA 3PH</t>
  </si>
  <si>
    <t>375KVA</t>
  </si>
  <si>
    <t>50KVA 1PH</t>
  </si>
  <si>
    <t>50KVA 3PH</t>
  </si>
  <si>
    <t>550KVA</t>
  </si>
  <si>
    <t>625KVA</t>
  </si>
  <si>
    <t>750KVA</t>
  </si>
  <si>
    <t>ALKOSTO</t>
  </si>
  <si>
    <t>750KVA 3PH (220V)</t>
  </si>
  <si>
    <t>77KVA</t>
  </si>
  <si>
    <t>PERKINS 125KVA</t>
  </si>
  <si>
    <t>PERKINS 165KVA</t>
  </si>
  <si>
    <t>PERKINS 185KVA</t>
  </si>
  <si>
    <t>VTM7-1400 TORRE ILUM</t>
  </si>
  <si>
    <t>Suma total</t>
  </si>
  <si>
    <t>CAFE AMANECER</t>
  </si>
  <si>
    <t>VEN251</t>
  </si>
  <si>
    <t>CHN3511086A</t>
  </si>
  <si>
    <t xml:space="preserve">VICSON </t>
  </si>
  <si>
    <t>2600511BFZQ1</t>
  </si>
  <si>
    <t>ASOC. CAFETALEROS MERIDA</t>
  </si>
  <si>
    <t xml:space="preserve">vendido </t>
  </si>
  <si>
    <t>EN CONCRETO</t>
  </si>
  <si>
    <t>ATRIUM</t>
  </si>
  <si>
    <t>DISPONIBLE</t>
  </si>
  <si>
    <t>en puerto</t>
  </si>
  <si>
    <t>Barquisimeto</t>
  </si>
  <si>
    <t>VEN252</t>
  </si>
  <si>
    <t>caracas</t>
  </si>
  <si>
    <t>CHN3511086B</t>
  </si>
  <si>
    <t>hipermercados siga</t>
  </si>
  <si>
    <t>VENDIDO</t>
  </si>
  <si>
    <t>valencia</t>
  </si>
  <si>
    <t>VEN253</t>
  </si>
  <si>
    <t>CHN3552988</t>
  </si>
  <si>
    <t>Puerto Cabello/USO 24</t>
  </si>
  <si>
    <t xml:space="preserve">Stock Local </t>
  </si>
  <si>
    <t>CARACAS</t>
  </si>
  <si>
    <t>CENTRO OCULAR CORREDOR</t>
  </si>
  <si>
    <t>CASTAÑEDA</t>
  </si>
  <si>
    <t>B260021</t>
  </si>
  <si>
    <t>B260022</t>
  </si>
  <si>
    <t>B260023</t>
  </si>
  <si>
    <t>EN REVISION TECNICA</t>
  </si>
  <si>
    <t>B260024</t>
  </si>
  <si>
    <t>260514BFZA</t>
  </si>
  <si>
    <t>VEN257</t>
  </si>
  <si>
    <t>EN PUERTO</t>
  </si>
  <si>
    <t>CHN3708141</t>
  </si>
  <si>
    <t>CAPITAN AGUILAR</t>
  </si>
  <si>
    <t>En Navegación</t>
  </si>
  <si>
    <t xml:space="preserve">CORPORCION GUAYABAL </t>
  </si>
  <si>
    <t>CECOCESOA</t>
  </si>
  <si>
    <t>VEN258</t>
  </si>
  <si>
    <t>vendida</t>
  </si>
  <si>
    <t>CHN3708148</t>
  </si>
  <si>
    <t>sr nissa</t>
  </si>
  <si>
    <t>-</t>
  </si>
  <si>
    <t>50kva 1ph</t>
  </si>
  <si>
    <t>VEN266</t>
  </si>
  <si>
    <t>En Tránsito</t>
  </si>
  <si>
    <t>CHN3861441</t>
  </si>
  <si>
    <t>27.5 1ph</t>
  </si>
  <si>
    <t>ALMACEN CHINA</t>
  </si>
  <si>
    <t>POR EMBARCAR</t>
  </si>
  <si>
    <t>260515BFZA</t>
  </si>
  <si>
    <t>VEN263</t>
  </si>
  <si>
    <t>CHN3841545</t>
  </si>
  <si>
    <t>VEN264</t>
  </si>
  <si>
    <t>CHN3841570</t>
  </si>
  <si>
    <t>GALLETAS PUIG</t>
  </si>
  <si>
    <t>VEN262</t>
  </si>
  <si>
    <t>transbordo puerto</t>
  </si>
  <si>
    <t>PROALCA</t>
  </si>
  <si>
    <t>VEN268</t>
  </si>
  <si>
    <t>CHN3959421</t>
  </si>
  <si>
    <t xml:space="preserve">Embarcando </t>
  </si>
  <si>
    <t>CHN3959160</t>
  </si>
  <si>
    <t>CONVACA</t>
  </si>
  <si>
    <t>260630BFZA</t>
  </si>
  <si>
    <t xml:space="preserve">260630BFZA </t>
  </si>
  <si>
    <t>VEN269</t>
  </si>
  <si>
    <t>CHN3861499</t>
  </si>
  <si>
    <t>TIENDA CARACAS</t>
  </si>
  <si>
    <t>GOBERNACION DE GUYANA</t>
  </si>
  <si>
    <t xml:space="preserve">hotal manantial </t>
  </si>
  <si>
    <t>260717BFZA</t>
  </si>
  <si>
    <t>EN PRODUCCION</t>
  </si>
  <si>
    <t>260803BFZA</t>
  </si>
  <si>
    <t xml:space="preserve">EN FABRICACION </t>
  </si>
  <si>
    <t>260806BFZA</t>
  </si>
  <si>
    <t>260826BFZA</t>
  </si>
  <si>
    <t xml:space="preserve">132KVA </t>
  </si>
  <si>
    <t>TOTAL UNIDADES PIPELINE</t>
  </si>
  <si>
    <t>mango center pendiente  180KVA</t>
  </si>
  <si>
    <t>ojo</t>
  </si>
  <si>
    <t>27.5  sr nissa maracaibo</t>
  </si>
  <si>
    <t xml:space="preserve">ALEJANDRO MACHADO </t>
  </si>
  <si>
    <t xml:space="preserve">CAPITAN AGUILAR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</si>
</sst>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7">
    <font>
      <sz val="10.0"/>
      <color rgb="FF000000"/>
      <name val="Arial"/>
      <scheme val="minor"/>
    </font>
    <font>
      <b/>
      <sz val="15.0"/>
      <color rgb="FF1F497D"/>
      <name val="Calibri"/>
    </font>
    <font>
      <b/>
      <sz val="9.0"/>
      <color rgb="FFFFFFFF"/>
      <name val="Calibri"/>
    </font>
    <font>
      <sz val="9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4CCCC"/>
        <bgColor rgb="FFF4CCCC"/>
      </patternFill>
    </fill>
    <fill>
      <patternFill patternType="solid">
        <fgColor rgb="FFF2F5F9"/>
        <bgColor rgb="FFF2F5F9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left" vertical="center"/>
    </xf>
    <xf borderId="2" fillId="4" fontId="3" numFmtId="0" xfId="0" applyAlignment="1" applyBorder="1" applyFill="1" applyFont="1">
      <alignment horizontal="left" vertical="center"/>
    </xf>
    <xf borderId="2" fillId="6" fontId="4" numFmtId="0" xfId="0" applyBorder="1" applyFill="1" applyFont="1"/>
    <xf borderId="0" fillId="0" fontId="5" numFmtId="0" xfId="0" applyFont="1"/>
    <xf borderId="0" fillId="0" fontId="5" numFmtId="3" xfId="0" applyFont="1" applyNumberFormat="1"/>
    <xf borderId="3" fillId="0" fontId="3" numFmtId="3" xfId="0" applyAlignment="1" applyBorder="1" applyFont="1" applyNumberFormat="1">
      <alignment horizontal="center" shrinkToFit="0" vertical="center" wrapText="1"/>
    </xf>
    <xf borderId="3" fillId="4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3" fillId="7" fontId="3" numFmtId="0" xfId="0" applyAlignment="1" applyBorder="1" applyFill="1" applyFont="1">
      <alignment horizontal="center" shrinkToFit="0" vertical="center" wrapText="1"/>
    </xf>
    <xf borderId="3" fillId="4" fontId="3" numFmtId="3" xfId="0" applyAlignment="1" applyBorder="1" applyFill="1" applyFont="1" applyNumberForma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left" readingOrder="0" vertical="center"/>
    </xf>
    <xf borderId="3" fillId="0" fontId="6" numFmtId="0" xfId="0" applyAlignment="1" applyBorder="1" applyFont="1">
      <alignment horizontal="center" shrinkToFit="0" vertical="center" wrapText="1"/>
    </xf>
    <xf borderId="3" fillId="8" fontId="6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vertical="center"/>
    </xf>
    <xf borderId="3" fillId="0" fontId="3" numFmtId="3" xfId="0" applyAlignment="1" applyBorder="1" applyFont="1" applyNumberFormat="1">
      <alignment horizontal="center" readingOrder="0" shrinkToFit="0" vertical="center" wrapText="1"/>
    </xf>
    <xf borderId="3" fillId="4" fontId="3" numFmtId="3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3" fillId="9" fontId="3" numFmtId="0" xfId="0" applyAlignment="1" applyBorder="1" applyFill="1" applyFont="1">
      <alignment horizontal="left" readingOrder="0" vertical="center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2" fillId="4" fontId="3" numFmtId="0" xfId="0" applyAlignment="1" applyBorder="1" applyFill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3" fillId="4" fontId="3" numFmtId="0" xfId="0" applyAlignment="1" applyBorder="1" applyFill="1" applyFont="1">
      <alignment horizontal="left" readingOrder="0" vertical="center"/>
    </xf>
    <xf borderId="3" fillId="4" fontId="3" numFmtId="165" xfId="0" applyAlignment="1" applyBorder="1" applyFill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4" fontId="3" numFmtId="165" xfId="0" applyAlignment="1" applyBorder="1" applyFill="1" applyFont="1" applyNumberFormat="1">
      <alignment horizontal="center" readingOrder="0" shrinkToFit="0" vertical="center" wrapText="1"/>
    </xf>
    <xf borderId="0" fillId="4" fontId="3" numFmtId="0" xfId="0" applyAlignment="1" applyFill="1" applyFont="1">
      <alignment horizontal="left" vertical="center"/>
    </xf>
    <xf borderId="4" fillId="0" fontId="6" numFmtId="0" xfId="0" applyBorder="1" applyFont="1"/>
    <xf borderId="4" fillId="0" fontId="6" numFmtId="0" xfId="0" applyAlignment="1" applyBorder="1" applyFont="1">
      <alignment readingOrder="0"/>
    </xf>
    <xf borderId="0" fillId="0" fontId="6" numFmtId="0" xfId="0" applyFont="1"/>
    <xf borderId="4" fillId="4" fontId="3" numFmtId="0" xfId="0" applyAlignment="1" applyBorder="1" applyFill="1" applyFont="1">
      <alignment horizontal="left" readingOrder="0" vertical="center"/>
    </xf>
    <xf borderId="4" fillId="0" fontId="6" numFmtId="3" xfId="0" applyBorder="1" applyFont="1" applyNumberFormat="1"/>
    <xf borderId="5" fillId="0" fontId="6" numFmtId="0" xfId="0" applyBorder="1" applyFont="1"/>
    <xf borderId="5" fillId="0" fontId="6" numFmtId="3" xfId="0" applyBorder="1" applyFont="1" applyNumberFormat="1"/>
    <xf borderId="0" fillId="5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L95" sheet="Seguimiento de Pedidos"/>
  </cacheSource>
  <cacheFields>
    <cacheField name="ID Pedido" numFmtId="0">
      <sharedItems>
        <s v="251028BFZA"/>
        <s v="2600511BFZQ1"/>
        <s v="260514BFZA"/>
        <s v="-"/>
        <s v="260515BFZA"/>
        <s v="260630BFZA"/>
        <s v="260630BFZA "/>
        <s v="260717BFZA"/>
        <s v="260803BFZA"/>
        <s v="260806BFZA"/>
        <s v="260826BFZA"/>
      </sharedItems>
    </cacheField>
    <cacheField name="NOMBRE" numFmtId="0">
      <sharedItems containsBlank="1">
        <s v="VEN246"/>
        <s v="VEN247"/>
        <s v="VEN251"/>
        <s v="VEN252"/>
        <s v="VEN253"/>
        <s v="VEN257"/>
        <s v="VEN258"/>
        <s v="-"/>
        <s v="VEN266"/>
        <m/>
        <s v="VEN263"/>
        <s v="VEN264"/>
        <s v="VEN262"/>
        <s v="VEN268"/>
        <s v="VEN269"/>
      </sharedItems>
    </cacheField>
    <cacheField name="Modelo / kVA" numFmtId="0">
      <sharedItems>
        <s v="435KVA 3PH"/>
        <s v="550KVA 3PH"/>
        <s v="375KVA 3PH"/>
        <s v="306KVA 3PH"/>
        <s v="250KVA 3PH"/>
        <s v="100KVA "/>
        <s v="125KVA 1PH"/>
        <s v="50KVA 1PH"/>
        <s v="20KVA 1PH"/>
        <s v="750KVA 3PH (220V)"/>
        <s v="50KVA 3PH"/>
        <s v="33KVA 3PH"/>
        <s v="33KVA 1 PH"/>
        <s v="156KVA "/>
        <s v="180KVA"/>
        <s v="212KVA"/>
        <s v="550KVA"/>
        <s v="27.5 1PH"/>
        <s v="145KVA"/>
        <s v="33KVA 1PH"/>
        <s v="132kva "/>
        <s v="1250KVA"/>
        <s v="1562KVA"/>
        <s v="1250KVA  440V"/>
        <s v="27.5 3PH"/>
        <s v="77KVA"/>
        <s v="100KVA"/>
        <s v="132KVA"/>
        <s v="156KVA"/>
        <s v="250KVA"/>
        <s v="306KVA "/>
        <s v="625KVA"/>
        <s v="VTM7-1400 TORRE ILUM"/>
        <s v="PERKINS 125KVA"/>
        <s v="PERKINS 165KVA"/>
        <s v="PERKINS 185KVA"/>
        <s v="306KVA"/>
        <s v="750KVA"/>
        <s v="375KVA"/>
      </sharedItems>
    </cacheField>
    <cacheField name="Cant. (Uds)" numFmtId="0">
      <sharedItems containsSemiMixedTypes="0" containsString="0" containsNumber="1" containsInteger="1">
        <n v="1.0"/>
        <n v="5.0"/>
        <n v="10.0"/>
        <n v="3.0"/>
        <n v="2.0"/>
        <n v="4.0"/>
        <n v="6.0"/>
      </sharedItems>
    </cacheField>
    <cacheField name="Modalidad" numFmtId="0">
      <sharedItems>
        <s v="Vendido"/>
        <s v="Stock Local"/>
        <s v="Compra Express"/>
        <s v="vendido "/>
        <s v="caracas"/>
        <s v="Stock Local "/>
        <s v="vendida"/>
      </sharedItems>
    </cacheField>
    <cacheField name="Ubicación / Etapa" numFmtId="0">
      <sharedItems>
        <s v="Vendido "/>
        <s v="Alquilada"/>
        <s v="DISPONIBLE"/>
        <s v="EN REVISION TECNICA"/>
        <s v="EN PUERTO"/>
        <s v="En Tránsito"/>
        <s v="ALMACEN CHINA"/>
        <s v="transbordo puerto"/>
        <s v="Embarcando "/>
        <s v="EN FABRICACION "/>
      </sharedItems>
    </cacheField>
    <cacheField name="Nro. BL / Doc" numFmtId="0">
      <sharedItems containsBlank="1">
        <s v="CHN3431178"/>
        <s v="CHN3475357"/>
        <s v="CHN3511086A"/>
        <s v="CHN3511086B"/>
        <s v="CHN3552988"/>
        <s v="CHN3708141"/>
        <s v="CHN3708148"/>
        <s v="-"/>
        <s v="CHN3861441"/>
        <m/>
        <s v="CHN3841545"/>
        <s v="CHN3841570"/>
        <s v="CHN3959421"/>
        <s v="CHN3959160"/>
        <s v="CHN3861499"/>
      </sharedItems>
    </cacheField>
    <cacheField name="Naviera / VENDIDO " numFmtId="0">
      <sharedItems containsBlank="1">
        <s v="BARQUISIMETO"/>
        <s v="PRESTAMO VICSON "/>
        <s v="CMA"/>
        <s v="VALENCIA"/>
        <s v="-"/>
        <m/>
      </sharedItems>
    </cacheField>
    <cacheField name="ETA (Llegada)">
      <sharedItems containsDate="1" containsBlank="1" containsMixedTypes="1">
        <s v="llego"/>
        <s v="caracas"/>
        <d v="2026-09-16T00:00:00Z"/>
        <s v="-"/>
        <d v="2026-03-11T00:00:00Z"/>
        <m/>
        <d v="2026-10-20T00:00:00Z"/>
        <d v="2026-11-06T00:00:00Z"/>
        <d v="2026-10-28T00:00:00Z"/>
      </sharedItems>
    </cacheField>
    <cacheField name="Destino / Almacén" numFmtId="0">
      <sharedItems containsBlank="1">
        <s v="BARQUISIMETO"/>
        <s v="VALENCIA"/>
        <s v="MARACAIBO"/>
        <s v="caracas"/>
        <s v="Puerto Cabello/USO 24"/>
        <s v="-"/>
        <s v="TIENDA CARACAS"/>
        <m/>
      </sharedItems>
    </cacheField>
    <cacheField name="Cliente Asignado / Estado" numFmtId="0">
      <sharedItems containsBlank="1">
        <s v="HELADOS LA CASCADA"/>
        <s v="ALQUILADA"/>
        <s v="caracas "/>
        <s v="ALKOSTO"/>
        <s v="CAFE AMANECER"/>
        <s v="VICSON "/>
        <s v="ASOC. CAFETALEROS MERIDA"/>
        <s v="EN CONCRETO"/>
        <s v="ATRIUM"/>
        <s v="en puerto"/>
        <s v="Barquisimeto"/>
        <s v="hipermercados siga"/>
        <s v="valencia"/>
        <s v="CARACAS"/>
        <s v="CENTRO OCULAR CORREDOR"/>
        <s v="CASTAÑEDA"/>
        <s v="CAPITAN AGUILAR"/>
        <s v="En Navegación"/>
        <s v="CORPORCION GUAYABAL "/>
        <s v="CECOCESOA"/>
        <s v="sr nissa"/>
        <s v="POR EMBARCAR"/>
        <s v="GALLETAS PUIG"/>
        <s v="PROALCA"/>
        <s v="CONVACA"/>
        <s v="GOBERNACION DE GUYANA"/>
        <s v="hotal manantial "/>
        <s v="EN PRODUCCION"/>
        <m/>
      </sharedItems>
    </cacheField>
    <cacheField name="SERIAL ">
      <sharedItems containsBlank="1" containsMixedTypes="1" containsNumber="1" containsInteger="1">
        <n v="2511045.0"/>
        <n v="2511048.0"/>
        <m/>
        <n v="2511038.0"/>
        <n v="2511049.0"/>
        <n v="260543.0"/>
        <n v="260544.0"/>
        <n v="2605042.0"/>
        <n v="2605041.0"/>
        <n v="2605040.0"/>
        <n v="2605039.0"/>
        <n v="2605035.0"/>
        <n v="2605036.0"/>
        <n v="2511043.0"/>
        <n v="2511041.0"/>
        <n v="2605033.0"/>
        <n v="2605034.0"/>
        <n v="2511052.0"/>
        <n v="260537.0"/>
        <n v="260538.0"/>
        <n v="260532.0"/>
        <n v="260530.0"/>
        <n v="260531.0"/>
        <s v="B260021"/>
        <s v="B260022"/>
        <s v="B260023"/>
        <s v="B260024"/>
        <n v="2605107.0"/>
        <n v="2605108.0"/>
        <n v="2605109.0"/>
        <n v="2605122.0"/>
        <n v="2650111.0"/>
        <n v="2605096.0"/>
        <n v="2605102.0"/>
        <n v="2605103.0"/>
        <n v="2605105.0"/>
        <n v="2506106.0"/>
        <n v="26051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41" firstHeaderRow="0" firstDataRow="1" firstDataCol="0"/>
  <pivotFields>
    <pivotField name="ID 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delo / kVA" axis="axisRow" compact="0" outline="0" multipleItemSelectionAllowed="1" showAll="0" sortType="ascending">
      <items>
        <item x="26"/>
        <item x="5"/>
        <item x="21"/>
        <item x="23"/>
        <item x="6"/>
        <item x="27"/>
        <item x="20"/>
        <item x="18"/>
        <item x="22"/>
        <item x="28"/>
        <item x="13"/>
        <item x="14"/>
        <item x="8"/>
        <item x="15"/>
        <item x="29"/>
        <item x="4"/>
        <item x="17"/>
        <item x="24"/>
        <item x="36"/>
        <item x="30"/>
        <item x="3"/>
        <item x="12"/>
        <item x="19"/>
        <item x="11"/>
        <item x="38"/>
        <item x="2"/>
        <item x="0"/>
        <item x="7"/>
        <item x="10"/>
        <item x="16"/>
        <item x="1"/>
        <item x="31"/>
        <item x="37"/>
        <item x="9"/>
        <item x="25"/>
        <item x="33"/>
        <item x="34"/>
        <item x="35"/>
        <item x="32"/>
        <item t="default"/>
      </items>
    </pivotField>
    <pivotField name="Cant. (Uds)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dal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bicación / Eta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ro. BL / D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viera / VENDID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TA (Llegad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stino / Almacé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liente Asignado / 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RI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2"/>
  </rowFields>
  <dataFields>
    <dataField name="SUM of Cant. (Uds)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4.88"/>
    <col customWidth="1" min="3" max="3" width="24.5"/>
    <col customWidth="1" min="4" max="4" width="14.0"/>
    <col customWidth="1" min="5" max="5" width="28.0"/>
    <col customWidth="1" min="6" max="6" width="12.25"/>
    <col customWidth="1" min="7" max="7" width="16.63"/>
    <col customWidth="1" min="8" max="8" width="21.0"/>
    <col customWidth="1" min="9" max="9" width="14.88"/>
    <col customWidth="1" min="10" max="10" width="24.5"/>
    <col customWidth="1" min="11" max="11" width="25.38"/>
    <col customWidth="1" min="12" max="12" width="6.13"/>
    <col customWidth="1" min="13" max="26" width="8.0"/>
  </cols>
  <sheetData>
    <row r="1">
      <c r="A1" s="1" t="s">
        <v>0</v>
      </c>
    </row>
    <row r="3" ht="25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4" t="s">
        <v>12</v>
      </c>
    </row>
    <row r="4">
      <c r="A4" s="5" t="s">
        <v>13</v>
      </c>
      <c r="B4" s="5" t="s">
        <v>14</v>
      </c>
      <c r="C4" s="5" t="s">
        <v>15</v>
      </c>
      <c r="D4" s="5">
        <v>1.0</v>
      </c>
      <c r="E4" s="6" t="s">
        <v>16</v>
      </c>
      <c r="F4" s="7" t="s">
        <v>17</v>
      </c>
      <c r="G4" s="5" t="s">
        <v>18</v>
      </c>
      <c r="H4" s="6" t="s">
        <v>19</v>
      </c>
      <c r="I4" s="8" t="s">
        <v>20</v>
      </c>
      <c r="J4" s="6" t="s">
        <v>19</v>
      </c>
      <c r="K4" s="9" t="s">
        <v>21</v>
      </c>
      <c r="L4" s="10">
        <v>2511045.0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5" t="s">
        <v>13</v>
      </c>
      <c r="B5" s="5" t="s">
        <v>14</v>
      </c>
      <c r="C5" s="5" t="s">
        <v>24</v>
      </c>
      <c r="D5" s="14">
        <v>1.0</v>
      </c>
      <c r="E5" s="5" t="s">
        <v>27</v>
      </c>
      <c r="F5" s="6" t="s">
        <v>28</v>
      </c>
      <c r="G5" s="5" t="s">
        <v>18</v>
      </c>
      <c r="H5" s="5" t="s">
        <v>30</v>
      </c>
      <c r="I5" s="8" t="s">
        <v>20</v>
      </c>
      <c r="J5" s="5" t="s">
        <v>31</v>
      </c>
      <c r="K5" s="15" t="s">
        <v>34</v>
      </c>
      <c r="L5" s="16">
        <v>2511048.0</v>
      </c>
    </row>
    <row r="6" ht="18.75" customHeight="1">
      <c r="A6" s="5" t="s">
        <v>13</v>
      </c>
      <c r="B6" s="5" t="s">
        <v>39</v>
      </c>
      <c r="C6" s="17" t="s">
        <v>41</v>
      </c>
      <c r="D6" s="18">
        <v>1.0</v>
      </c>
      <c r="E6" s="19" t="s">
        <v>48</v>
      </c>
      <c r="F6" s="7" t="s">
        <v>17</v>
      </c>
      <c r="G6" s="19" t="s">
        <v>51</v>
      </c>
      <c r="H6" s="5" t="s">
        <v>52</v>
      </c>
      <c r="I6" s="8" t="s">
        <v>20</v>
      </c>
      <c r="J6" s="5" t="s">
        <v>54</v>
      </c>
      <c r="K6" s="20" t="s">
        <v>56</v>
      </c>
      <c r="L6" s="16"/>
    </row>
    <row r="7" ht="18.75" customHeight="1">
      <c r="A7" s="5" t="s">
        <v>13</v>
      </c>
      <c r="B7" s="5" t="s">
        <v>39</v>
      </c>
      <c r="C7" s="21" t="s">
        <v>55</v>
      </c>
      <c r="D7" s="14">
        <v>1.0</v>
      </c>
      <c r="E7" s="6" t="s">
        <v>16</v>
      </c>
      <c r="F7" s="7" t="s">
        <v>17</v>
      </c>
      <c r="G7" s="19" t="s">
        <v>51</v>
      </c>
      <c r="H7" s="6" t="s">
        <v>19</v>
      </c>
      <c r="I7" s="8" t="s">
        <v>20</v>
      </c>
      <c r="J7" s="5" t="s">
        <v>54</v>
      </c>
      <c r="K7" s="20" t="s">
        <v>66</v>
      </c>
      <c r="L7" s="16">
        <v>2511038.0</v>
      </c>
    </row>
    <row r="8" ht="18.75" customHeight="1">
      <c r="A8" s="5" t="s">
        <v>13</v>
      </c>
      <c r="B8" s="5" t="s">
        <v>39</v>
      </c>
      <c r="C8" s="5" t="s">
        <v>55</v>
      </c>
      <c r="D8" s="18">
        <v>1.0</v>
      </c>
      <c r="E8" s="19" t="s">
        <v>48</v>
      </c>
      <c r="F8" s="7" t="s">
        <v>17</v>
      </c>
      <c r="G8" s="19" t="s">
        <v>51</v>
      </c>
      <c r="H8" s="5" t="s">
        <v>52</v>
      </c>
      <c r="I8" s="8" t="s">
        <v>20</v>
      </c>
      <c r="J8" s="5" t="s">
        <v>54</v>
      </c>
      <c r="K8" s="9" t="s">
        <v>74</v>
      </c>
      <c r="L8" s="10"/>
    </row>
    <row r="9" ht="18.75" customHeight="1">
      <c r="A9" s="5" t="s">
        <v>13</v>
      </c>
      <c r="B9" s="5" t="s">
        <v>75</v>
      </c>
      <c r="C9" s="5" t="s">
        <v>24</v>
      </c>
      <c r="D9" s="14">
        <v>1.0</v>
      </c>
      <c r="E9" s="19" t="s">
        <v>48</v>
      </c>
      <c r="F9" s="7" t="s">
        <v>17</v>
      </c>
      <c r="G9" s="5" t="s">
        <v>76</v>
      </c>
      <c r="H9" s="5" t="s">
        <v>52</v>
      </c>
      <c r="I9" s="8" t="s">
        <v>20</v>
      </c>
      <c r="J9" s="5" t="s">
        <v>54</v>
      </c>
      <c r="K9" s="9" t="s">
        <v>77</v>
      </c>
      <c r="L9" s="16">
        <v>2511049.0</v>
      </c>
    </row>
    <row r="10" ht="18.75" customHeight="1">
      <c r="A10" s="5" t="s">
        <v>78</v>
      </c>
      <c r="B10" s="5" t="s">
        <v>75</v>
      </c>
      <c r="C10" s="19" t="s">
        <v>46</v>
      </c>
      <c r="D10" s="18">
        <v>1.0</v>
      </c>
      <c r="E10" s="6" t="s">
        <v>16</v>
      </c>
      <c r="F10" s="7" t="s">
        <v>17</v>
      </c>
      <c r="G10" s="5" t="s">
        <v>76</v>
      </c>
      <c r="H10" s="6" t="s">
        <v>19</v>
      </c>
      <c r="I10" s="8" t="s">
        <v>20</v>
      </c>
      <c r="J10" s="5" t="s">
        <v>54</v>
      </c>
      <c r="K10" s="9" t="s">
        <v>79</v>
      </c>
      <c r="L10" s="10">
        <v>260543.0</v>
      </c>
    </row>
    <row r="11" ht="18.75" customHeight="1">
      <c r="A11" s="5" t="s">
        <v>78</v>
      </c>
      <c r="B11" s="5" t="s">
        <v>75</v>
      </c>
      <c r="C11" s="19" t="s">
        <v>46</v>
      </c>
      <c r="D11" s="14">
        <v>1.0</v>
      </c>
      <c r="E11" s="8" t="s">
        <v>80</v>
      </c>
      <c r="F11" s="7" t="s">
        <v>17</v>
      </c>
      <c r="G11" s="5" t="s">
        <v>76</v>
      </c>
      <c r="H11" s="5" t="s">
        <v>52</v>
      </c>
      <c r="I11" s="8" t="s">
        <v>20</v>
      </c>
      <c r="J11" s="5" t="s">
        <v>54</v>
      </c>
      <c r="K11" s="20" t="s">
        <v>56</v>
      </c>
      <c r="L11" s="16">
        <v>260544.0</v>
      </c>
    </row>
    <row r="12" ht="18.75" customHeight="1">
      <c r="A12" s="5" t="s">
        <v>78</v>
      </c>
      <c r="B12" s="5" t="s">
        <v>75</v>
      </c>
      <c r="C12" s="8" t="s">
        <v>25</v>
      </c>
      <c r="D12" s="18">
        <v>1.0</v>
      </c>
      <c r="E12" s="19" t="s">
        <v>48</v>
      </c>
      <c r="F12" s="7" t="s">
        <v>17</v>
      </c>
      <c r="G12" s="5" t="s">
        <v>76</v>
      </c>
      <c r="H12" s="6" t="s">
        <v>31</v>
      </c>
      <c r="I12" s="8" t="s">
        <v>20</v>
      </c>
      <c r="J12" s="5" t="s">
        <v>54</v>
      </c>
      <c r="K12" s="9" t="s">
        <v>81</v>
      </c>
      <c r="L12" s="10">
        <v>2605042.0</v>
      </c>
    </row>
    <row r="13" ht="18.75" customHeight="1">
      <c r="A13" s="5" t="s">
        <v>78</v>
      </c>
      <c r="B13" s="5" t="s">
        <v>75</v>
      </c>
      <c r="C13" s="8" t="s">
        <v>25</v>
      </c>
      <c r="D13" s="14">
        <v>1.0</v>
      </c>
      <c r="E13" s="19" t="s">
        <v>48</v>
      </c>
      <c r="F13" s="7" t="s">
        <v>17</v>
      </c>
      <c r="G13" s="5" t="s">
        <v>76</v>
      </c>
      <c r="H13" s="5" t="s">
        <v>52</v>
      </c>
      <c r="I13" s="8" t="s">
        <v>20</v>
      </c>
      <c r="J13" s="5" t="s">
        <v>54</v>
      </c>
      <c r="K13" s="9" t="s">
        <v>82</v>
      </c>
      <c r="L13" s="16">
        <v>2605041.0</v>
      </c>
    </row>
    <row r="14" ht="18.75" customHeight="1">
      <c r="A14" s="5" t="s">
        <v>78</v>
      </c>
      <c r="B14" s="5" t="s">
        <v>75</v>
      </c>
      <c r="C14" s="8" t="s">
        <v>25</v>
      </c>
      <c r="D14" s="18">
        <v>1.0</v>
      </c>
      <c r="E14" s="19" t="s">
        <v>48</v>
      </c>
      <c r="F14" s="22" t="s">
        <v>83</v>
      </c>
      <c r="G14" s="5" t="s">
        <v>76</v>
      </c>
      <c r="H14" s="5" t="s">
        <v>52</v>
      </c>
      <c r="I14" s="8" t="s">
        <v>20</v>
      </c>
      <c r="J14" s="5" t="s">
        <v>54</v>
      </c>
      <c r="K14" s="23" t="s">
        <v>84</v>
      </c>
      <c r="L14" s="16">
        <v>2605040.0</v>
      </c>
    </row>
    <row r="15" ht="18.75" customHeight="1">
      <c r="A15" s="5" t="s">
        <v>78</v>
      </c>
      <c r="B15" s="5" t="s">
        <v>75</v>
      </c>
      <c r="C15" s="8" t="s">
        <v>25</v>
      </c>
      <c r="D15" s="18">
        <v>1.0</v>
      </c>
      <c r="E15" s="19" t="s">
        <v>48</v>
      </c>
      <c r="F15" s="22" t="s">
        <v>83</v>
      </c>
      <c r="G15" s="5" t="s">
        <v>76</v>
      </c>
      <c r="H15" s="5" t="s">
        <v>52</v>
      </c>
      <c r="I15" s="8" t="s">
        <v>20</v>
      </c>
      <c r="J15" s="5" t="s">
        <v>54</v>
      </c>
      <c r="K15" s="23" t="s">
        <v>84</v>
      </c>
      <c r="L15" s="10">
        <v>2605039.0</v>
      </c>
    </row>
    <row r="16" ht="19.5" customHeight="1">
      <c r="A16" s="5" t="s">
        <v>78</v>
      </c>
      <c r="B16" s="5" t="s">
        <v>75</v>
      </c>
      <c r="C16" s="5" t="s">
        <v>32</v>
      </c>
      <c r="D16" s="14">
        <v>1.0</v>
      </c>
      <c r="E16" s="19" t="s">
        <v>48</v>
      </c>
      <c r="F16" s="22" t="s">
        <v>83</v>
      </c>
      <c r="G16" s="5" t="s">
        <v>76</v>
      </c>
      <c r="H16" s="5" t="s">
        <v>52</v>
      </c>
      <c r="I16" s="8" t="s">
        <v>20</v>
      </c>
      <c r="J16" s="5" t="s">
        <v>54</v>
      </c>
      <c r="K16" s="24" t="s">
        <v>85</v>
      </c>
      <c r="L16" s="16">
        <v>2605035.0</v>
      </c>
    </row>
    <row r="17" ht="19.5" customHeight="1">
      <c r="A17" s="5" t="s">
        <v>78</v>
      </c>
      <c r="B17" s="5" t="s">
        <v>75</v>
      </c>
      <c r="C17" s="21" t="s">
        <v>32</v>
      </c>
      <c r="D17" s="14">
        <v>1.0</v>
      </c>
      <c r="E17" s="19" t="s">
        <v>48</v>
      </c>
      <c r="F17" s="22" t="s">
        <v>83</v>
      </c>
      <c r="G17" s="5" t="s">
        <v>76</v>
      </c>
      <c r="H17" s="5" t="s">
        <v>52</v>
      </c>
      <c r="I17" s="8" t="s">
        <v>20</v>
      </c>
      <c r="J17" s="5" t="s">
        <v>54</v>
      </c>
      <c r="K17" s="23" t="s">
        <v>84</v>
      </c>
      <c r="L17" s="16">
        <v>2605036.0</v>
      </c>
    </row>
    <row r="18" ht="18.75" customHeight="1">
      <c r="A18" s="5" t="s">
        <v>78</v>
      </c>
      <c r="B18" s="5" t="s">
        <v>86</v>
      </c>
      <c r="C18" s="19" t="s">
        <v>15</v>
      </c>
      <c r="D18" s="18">
        <v>1.0</v>
      </c>
      <c r="E18" s="8" t="s">
        <v>87</v>
      </c>
      <c r="F18" s="7" t="s">
        <v>17</v>
      </c>
      <c r="G18" s="19" t="s">
        <v>88</v>
      </c>
      <c r="H18" s="5" t="s">
        <v>52</v>
      </c>
      <c r="I18" s="8" t="s">
        <v>87</v>
      </c>
      <c r="J18" s="6" t="s">
        <v>87</v>
      </c>
      <c r="K18" s="9" t="s">
        <v>89</v>
      </c>
      <c r="L18" s="10">
        <v>2511043.0</v>
      </c>
    </row>
    <row r="19" ht="18.75" customHeight="1">
      <c r="A19" s="5" t="s">
        <v>78</v>
      </c>
      <c r="B19" s="5" t="s">
        <v>86</v>
      </c>
      <c r="C19" s="17" t="s">
        <v>41</v>
      </c>
      <c r="D19" s="14">
        <v>1.0</v>
      </c>
      <c r="E19" s="8" t="s">
        <v>90</v>
      </c>
      <c r="F19" s="7" t="s">
        <v>17</v>
      </c>
      <c r="G19" s="19" t="s">
        <v>88</v>
      </c>
      <c r="H19" s="5" t="s">
        <v>52</v>
      </c>
      <c r="I19" s="8" t="s">
        <v>20</v>
      </c>
      <c r="J19" s="5" t="s">
        <v>54</v>
      </c>
      <c r="K19" s="20" t="s">
        <v>91</v>
      </c>
      <c r="L19" s="16">
        <v>2511041.0</v>
      </c>
    </row>
    <row r="20" ht="18.75" customHeight="1">
      <c r="A20" s="5" t="s">
        <v>78</v>
      </c>
      <c r="B20" s="5" t="s">
        <v>86</v>
      </c>
      <c r="C20" s="19" t="s">
        <v>61</v>
      </c>
      <c r="D20" s="18">
        <v>1.0</v>
      </c>
      <c r="E20" s="19" t="s">
        <v>48</v>
      </c>
      <c r="F20" s="22" t="s">
        <v>83</v>
      </c>
      <c r="G20" s="19" t="s">
        <v>88</v>
      </c>
      <c r="H20" s="5" t="s">
        <v>52</v>
      </c>
      <c r="I20" s="8" t="s">
        <v>20</v>
      </c>
      <c r="J20" s="5" t="s">
        <v>54</v>
      </c>
      <c r="K20" s="23" t="s">
        <v>84</v>
      </c>
      <c r="L20" s="10">
        <v>2605033.0</v>
      </c>
    </row>
    <row r="21" ht="18.75" customHeight="1">
      <c r="A21" s="5" t="s">
        <v>78</v>
      </c>
      <c r="B21" s="5" t="s">
        <v>86</v>
      </c>
      <c r="C21" s="5" t="s">
        <v>61</v>
      </c>
      <c r="D21" s="25">
        <v>1.0</v>
      </c>
      <c r="E21" s="19" t="s">
        <v>48</v>
      </c>
      <c r="F21" s="22" t="s">
        <v>83</v>
      </c>
      <c r="G21" s="19" t="s">
        <v>88</v>
      </c>
      <c r="H21" s="5" t="s">
        <v>52</v>
      </c>
      <c r="I21" s="8" t="s">
        <v>20</v>
      </c>
      <c r="J21" s="6" t="s">
        <v>31</v>
      </c>
      <c r="K21" s="23" t="s">
        <v>31</v>
      </c>
      <c r="L21" s="16">
        <v>2605034.0</v>
      </c>
    </row>
    <row r="22" ht="18.75" customHeight="1">
      <c r="A22" s="5" t="s">
        <v>78</v>
      </c>
      <c r="B22" s="5" t="s">
        <v>92</v>
      </c>
      <c r="C22" s="19" t="s">
        <v>43</v>
      </c>
      <c r="D22" s="26">
        <v>1.0</v>
      </c>
      <c r="E22" s="19" t="s">
        <v>48</v>
      </c>
      <c r="F22" s="7" t="s">
        <v>17</v>
      </c>
      <c r="G22" s="19" t="s">
        <v>88</v>
      </c>
      <c r="H22" s="5" t="s">
        <v>52</v>
      </c>
      <c r="I22" s="8" t="s">
        <v>20</v>
      </c>
      <c r="J22" s="5" t="s">
        <v>54</v>
      </c>
      <c r="K22" s="23" t="s">
        <v>84</v>
      </c>
      <c r="L22" s="10"/>
    </row>
    <row r="23" ht="18.75" customHeight="1">
      <c r="A23" s="5" t="s">
        <v>13</v>
      </c>
      <c r="B23" s="5" t="s">
        <v>92</v>
      </c>
      <c r="C23" s="5" t="s">
        <v>67</v>
      </c>
      <c r="D23" s="14">
        <v>1.0</v>
      </c>
      <c r="E23" s="6" t="s">
        <v>90</v>
      </c>
      <c r="F23" s="7" t="s">
        <v>17</v>
      </c>
      <c r="G23" s="5" t="s">
        <v>93</v>
      </c>
      <c r="H23" s="5" t="s">
        <v>52</v>
      </c>
      <c r="I23" s="8" t="s">
        <v>20</v>
      </c>
      <c r="J23" s="24" t="s">
        <v>94</v>
      </c>
      <c r="K23" s="24" t="s">
        <v>85</v>
      </c>
      <c r="L23" s="16">
        <v>2511052.0</v>
      </c>
    </row>
    <row r="24" ht="18.75" customHeight="1">
      <c r="A24" s="5" t="s">
        <v>78</v>
      </c>
      <c r="B24" s="5" t="s">
        <v>92</v>
      </c>
      <c r="C24" s="19" t="s">
        <v>62</v>
      </c>
      <c r="D24" s="18">
        <v>1.0</v>
      </c>
      <c r="E24" s="5" t="s">
        <v>95</v>
      </c>
      <c r="F24" s="7" t="s">
        <v>17</v>
      </c>
      <c r="G24" s="5" t="s">
        <v>93</v>
      </c>
      <c r="H24" s="5" t="s">
        <v>52</v>
      </c>
      <c r="I24" s="8" t="s">
        <v>20</v>
      </c>
      <c r="J24" s="24" t="s">
        <v>94</v>
      </c>
      <c r="K24" s="23" t="s">
        <v>96</v>
      </c>
      <c r="L24" s="10">
        <v>260537.0</v>
      </c>
    </row>
    <row r="25" ht="18.75" customHeight="1">
      <c r="A25" s="5" t="s">
        <v>78</v>
      </c>
      <c r="B25" s="5" t="s">
        <v>92</v>
      </c>
      <c r="C25" s="19" t="s">
        <v>62</v>
      </c>
      <c r="D25" s="14">
        <v>1.0</v>
      </c>
      <c r="E25" s="5" t="s">
        <v>95</v>
      </c>
      <c r="F25" s="22" t="s">
        <v>83</v>
      </c>
      <c r="G25" s="5" t="s">
        <v>93</v>
      </c>
      <c r="H25" s="5" t="s">
        <v>52</v>
      </c>
      <c r="I25" s="8" t="s">
        <v>20</v>
      </c>
      <c r="J25" s="24" t="s">
        <v>94</v>
      </c>
      <c r="K25" s="23" t="s">
        <v>82</v>
      </c>
      <c r="L25" s="16">
        <v>260538.0</v>
      </c>
    </row>
    <row r="26" ht="18.75" customHeight="1">
      <c r="A26" s="5" t="s">
        <v>78</v>
      </c>
      <c r="B26" s="5" t="s">
        <v>92</v>
      </c>
      <c r="C26" s="19" t="s">
        <v>59</v>
      </c>
      <c r="D26" s="18">
        <v>1.0</v>
      </c>
      <c r="E26" s="6" t="s">
        <v>16</v>
      </c>
      <c r="F26" s="7" t="s">
        <v>17</v>
      </c>
      <c r="G26" s="5" t="s">
        <v>93</v>
      </c>
      <c r="H26" s="6" t="s">
        <v>19</v>
      </c>
      <c r="I26" s="8" t="s">
        <v>20</v>
      </c>
      <c r="J26" s="24" t="s">
        <v>94</v>
      </c>
      <c r="K26" s="9" t="s">
        <v>97</v>
      </c>
      <c r="L26" s="10">
        <v>260532.0</v>
      </c>
    </row>
    <row r="27" ht="18.75" customHeight="1">
      <c r="A27" s="5" t="s">
        <v>78</v>
      </c>
      <c r="B27" s="5" t="s">
        <v>92</v>
      </c>
      <c r="C27" s="19" t="s">
        <v>57</v>
      </c>
      <c r="D27" s="14">
        <v>1.0</v>
      </c>
      <c r="E27" s="5" t="s">
        <v>95</v>
      </c>
      <c r="F27" s="7" t="s">
        <v>17</v>
      </c>
      <c r="G27" s="5" t="s">
        <v>93</v>
      </c>
      <c r="H27" s="5" t="s">
        <v>52</v>
      </c>
      <c r="I27" s="8" t="s">
        <v>20</v>
      </c>
      <c r="J27" s="24" t="s">
        <v>94</v>
      </c>
      <c r="K27" s="27" t="s">
        <v>96</v>
      </c>
      <c r="L27" s="16">
        <v>260530.0</v>
      </c>
    </row>
    <row r="28" ht="18.75" customHeight="1">
      <c r="A28" s="5" t="s">
        <v>78</v>
      </c>
      <c r="B28" s="5" t="s">
        <v>92</v>
      </c>
      <c r="C28" s="19" t="s">
        <v>57</v>
      </c>
      <c r="D28" s="14">
        <v>1.0</v>
      </c>
      <c r="E28" s="5" t="s">
        <v>95</v>
      </c>
      <c r="F28" s="7" t="s">
        <v>17</v>
      </c>
      <c r="G28" s="5" t="s">
        <v>93</v>
      </c>
      <c r="H28" s="5" t="s">
        <v>52</v>
      </c>
      <c r="I28" s="8" t="s">
        <v>20</v>
      </c>
      <c r="J28" s="24" t="s">
        <v>94</v>
      </c>
      <c r="K28" s="28" t="s">
        <v>98</v>
      </c>
      <c r="L28" s="16">
        <v>260531.0</v>
      </c>
    </row>
    <row r="29" ht="18.75" customHeight="1">
      <c r="A29" s="5" t="s">
        <v>78</v>
      </c>
      <c r="B29" s="5" t="s">
        <v>92</v>
      </c>
      <c r="C29" s="19" t="s">
        <v>43</v>
      </c>
      <c r="D29" s="14">
        <v>1.0</v>
      </c>
      <c r="E29" s="5" t="s">
        <v>95</v>
      </c>
      <c r="F29" s="7" t="s">
        <v>17</v>
      </c>
      <c r="G29" s="5" t="s">
        <v>93</v>
      </c>
      <c r="H29" s="5" t="s">
        <v>52</v>
      </c>
      <c r="I29" s="8" t="s">
        <v>20</v>
      </c>
      <c r="J29" s="24" t="s">
        <v>94</v>
      </c>
      <c r="K29" s="24" t="s">
        <v>85</v>
      </c>
      <c r="L29" s="16" t="s">
        <v>99</v>
      </c>
    </row>
    <row r="30" ht="18.75" customHeight="1">
      <c r="A30" s="5" t="s">
        <v>78</v>
      </c>
      <c r="B30" s="5" t="s">
        <v>92</v>
      </c>
      <c r="C30" s="19" t="s">
        <v>43</v>
      </c>
      <c r="D30" s="14">
        <v>1.0</v>
      </c>
      <c r="E30" s="5" t="s">
        <v>95</v>
      </c>
      <c r="F30" s="7" t="s">
        <v>17</v>
      </c>
      <c r="G30" s="5" t="s">
        <v>93</v>
      </c>
      <c r="H30" s="5" t="s">
        <v>52</v>
      </c>
      <c r="I30" s="8" t="s">
        <v>20</v>
      </c>
      <c r="J30" s="24" t="s">
        <v>94</v>
      </c>
      <c r="K30" s="24" t="s">
        <v>85</v>
      </c>
      <c r="L30" s="16" t="s">
        <v>100</v>
      </c>
    </row>
    <row r="31" ht="18.75" customHeight="1">
      <c r="A31" s="5" t="s">
        <v>78</v>
      </c>
      <c r="B31" s="5" t="s">
        <v>92</v>
      </c>
      <c r="C31" s="19" t="s">
        <v>43</v>
      </c>
      <c r="D31" s="14">
        <v>1.0</v>
      </c>
      <c r="E31" s="5" t="s">
        <v>95</v>
      </c>
      <c r="F31" s="7" t="s">
        <v>17</v>
      </c>
      <c r="G31" s="5" t="s">
        <v>93</v>
      </c>
      <c r="H31" s="5" t="s">
        <v>52</v>
      </c>
      <c r="I31" s="8" t="s">
        <v>20</v>
      </c>
      <c r="J31" s="24" t="s">
        <v>94</v>
      </c>
      <c r="K31" s="23" t="s">
        <v>96</v>
      </c>
      <c r="L31" s="16" t="s">
        <v>101</v>
      </c>
    </row>
    <row r="32" ht="18.75" customHeight="1">
      <c r="A32" s="5" t="s">
        <v>78</v>
      </c>
      <c r="B32" s="5" t="s">
        <v>92</v>
      </c>
      <c r="C32" s="19" t="s">
        <v>43</v>
      </c>
      <c r="D32" s="14">
        <v>1.0</v>
      </c>
      <c r="E32" s="5" t="s">
        <v>95</v>
      </c>
      <c r="F32" s="22" t="s">
        <v>102</v>
      </c>
      <c r="G32" s="5" t="s">
        <v>93</v>
      </c>
      <c r="H32" s="5" t="s">
        <v>52</v>
      </c>
      <c r="I32" s="8" t="s">
        <v>20</v>
      </c>
      <c r="J32" s="24" t="s">
        <v>94</v>
      </c>
      <c r="K32" s="24" t="s">
        <v>85</v>
      </c>
      <c r="L32" s="16" t="s">
        <v>103</v>
      </c>
    </row>
    <row r="33" ht="18.75" customHeight="1">
      <c r="A33" s="5" t="s">
        <v>104</v>
      </c>
      <c r="B33" s="6" t="s">
        <v>105</v>
      </c>
      <c r="C33" s="8" t="s">
        <v>40</v>
      </c>
      <c r="D33" s="26">
        <v>1.0</v>
      </c>
      <c r="E33" s="5" t="s">
        <v>95</v>
      </c>
      <c r="F33" s="8" t="s">
        <v>106</v>
      </c>
      <c r="G33" s="8" t="s">
        <v>107</v>
      </c>
      <c r="H33" s="5" t="s">
        <v>52</v>
      </c>
      <c r="I33" s="29">
        <v>46281.0</v>
      </c>
      <c r="J33" s="5" t="s">
        <v>54</v>
      </c>
      <c r="K33" s="9" t="s">
        <v>108</v>
      </c>
      <c r="L33" s="30">
        <v>2605107.0</v>
      </c>
    </row>
    <row r="34" ht="18.75" customHeight="1">
      <c r="A34" s="5" t="s">
        <v>104</v>
      </c>
      <c r="B34" s="6" t="s">
        <v>105</v>
      </c>
      <c r="C34" s="6" t="s">
        <v>42</v>
      </c>
      <c r="D34" s="25">
        <v>1.0</v>
      </c>
      <c r="E34" s="5" t="s">
        <v>95</v>
      </c>
      <c r="F34" s="8" t="s">
        <v>106</v>
      </c>
      <c r="G34" s="8" t="s">
        <v>107</v>
      </c>
      <c r="H34" s="5" t="s">
        <v>52</v>
      </c>
      <c r="I34" s="29">
        <v>46281.0</v>
      </c>
      <c r="J34" s="5" t="s">
        <v>54</v>
      </c>
      <c r="K34" s="23" t="s">
        <v>109</v>
      </c>
      <c r="L34" s="31">
        <v>2605108.0</v>
      </c>
    </row>
    <row r="35" ht="18.75" customHeight="1">
      <c r="A35" s="5" t="s">
        <v>104</v>
      </c>
      <c r="B35" s="6" t="s">
        <v>105</v>
      </c>
      <c r="C35" s="6" t="s">
        <v>42</v>
      </c>
      <c r="D35" s="26">
        <v>1.0</v>
      </c>
      <c r="E35" s="5" t="s">
        <v>95</v>
      </c>
      <c r="F35" s="8" t="s">
        <v>106</v>
      </c>
      <c r="G35" s="8" t="s">
        <v>107</v>
      </c>
      <c r="H35" s="5" t="s">
        <v>52</v>
      </c>
      <c r="I35" s="29">
        <v>46281.0</v>
      </c>
      <c r="J35" s="5" t="s">
        <v>54</v>
      </c>
      <c r="K35" s="23" t="s">
        <v>109</v>
      </c>
      <c r="L35" s="30">
        <v>2605109.0</v>
      </c>
    </row>
    <row r="36" ht="18.75" customHeight="1">
      <c r="A36" s="5" t="s">
        <v>104</v>
      </c>
      <c r="B36" s="6" t="s">
        <v>105</v>
      </c>
      <c r="C36" s="6" t="s">
        <v>44</v>
      </c>
      <c r="D36" s="25">
        <v>1.0</v>
      </c>
      <c r="E36" s="6" t="s">
        <v>16</v>
      </c>
      <c r="F36" s="7" t="s">
        <v>17</v>
      </c>
      <c r="G36" s="8" t="s">
        <v>107</v>
      </c>
      <c r="H36" s="6" t="s">
        <v>31</v>
      </c>
      <c r="I36" s="29">
        <v>46281.0</v>
      </c>
      <c r="J36" s="5" t="s">
        <v>54</v>
      </c>
      <c r="K36" s="9" t="s">
        <v>110</v>
      </c>
      <c r="L36" s="31">
        <v>2605122.0</v>
      </c>
    </row>
    <row r="37" ht="18.75" customHeight="1">
      <c r="A37" s="5" t="s">
        <v>104</v>
      </c>
      <c r="B37" s="6" t="s">
        <v>105</v>
      </c>
      <c r="C37" s="8" t="s">
        <v>63</v>
      </c>
      <c r="D37" s="26">
        <v>1.0</v>
      </c>
      <c r="E37" s="5" t="s">
        <v>95</v>
      </c>
      <c r="F37" s="7" t="s">
        <v>17</v>
      </c>
      <c r="G37" s="8" t="s">
        <v>107</v>
      </c>
      <c r="H37" s="5" t="s">
        <v>52</v>
      </c>
      <c r="I37" s="29">
        <v>46281.0</v>
      </c>
      <c r="J37" s="5" t="s">
        <v>54</v>
      </c>
      <c r="K37" s="9" t="s">
        <v>111</v>
      </c>
      <c r="L37" s="30">
        <v>2650111.0</v>
      </c>
    </row>
    <row r="38" ht="18.75" customHeight="1">
      <c r="A38" s="5" t="s">
        <v>104</v>
      </c>
      <c r="B38" s="6" t="s">
        <v>112</v>
      </c>
      <c r="C38" s="5" t="s">
        <v>47</v>
      </c>
      <c r="D38" s="14">
        <v>1.0</v>
      </c>
      <c r="E38" s="8" t="s">
        <v>113</v>
      </c>
      <c r="F38" s="8" t="s">
        <v>106</v>
      </c>
      <c r="G38" s="8" t="s">
        <v>114</v>
      </c>
      <c r="H38" s="5" t="s">
        <v>52</v>
      </c>
      <c r="I38" s="29">
        <v>46281.0</v>
      </c>
      <c r="J38" s="5" t="s">
        <v>54</v>
      </c>
      <c r="K38" s="9" t="s">
        <v>115</v>
      </c>
      <c r="L38" s="16">
        <v>2605096.0</v>
      </c>
    </row>
    <row r="39" ht="18.75" customHeight="1">
      <c r="A39" s="5" t="s">
        <v>104</v>
      </c>
      <c r="B39" s="6" t="s">
        <v>112</v>
      </c>
      <c r="C39" s="8" t="s">
        <v>25</v>
      </c>
      <c r="D39" s="26">
        <v>1.0</v>
      </c>
      <c r="E39" s="8" t="s">
        <v>48</v>
      </c>
      <c r="F39" s="8" t="s">
        <v>106</v>
      </c>
      <c r="G39" s="8" t="s">
        <v>114</v>
      </c>
      <c r="H39" s="5" t="s">
        <v>52</v>
      </c>
      <c r="I39" s="29">
        <v>46281.0</v>
      </c>
      <c r="J39" s="5" t="s">
        <v>54</v>
      </c>
      <c r="K39" s="23" t="s">
        <v>109</v>
      </c>
      <c r="L39" s="30">
        <v>2605102.0</v>
      </c>
    </row>
    <row r="40" ht="18.75" customHeight="1">
      <c r="A40" s="5" t="s">
        <v>104</v>
      </c>
      <c r="B40" s="6" t="s">
        <v>112</v>
      </c>
      <c r="C40" s="8" t="s">
        <v>25</v>
      </c>
      <c r="D40" s="26">
        <v>1.0</v>
      </c>
      <c r="E40" s="8" t="s">
        <v>48</v>
      </c>
      <c r="F40" s="8" t="s">
        <v>106</v>
      </c>
      <c r="G40" s="8" t="s">
        <v>114</v>
      </c>
      <c r="H40" s="5" t="s">
        <v>52</v>
      </c>
      <c r="I40" s="29">
        <v>46281.0</v>
      </c>
      <c r="J40" s="5" t="s">
        <v>54</v>
      </c>
      <c r="K40" s="23" t="s">
        <v>109</v>
      </c>
      <c r="L40" s="31">
        <v>2605103.0</v>
      </c>
    </row>
    <row r="41" ht="18.75" customHeight="1">
      <c r="A41" s="5" t="s">
        <v>104</v>
      </c>
      <c r="B41" s="6" t="s">
        <v>112</v>
      </c>
      <c r="C41" s="8" t="s">
        <v>36</v>
      </c>
      <c r="D41" s="26">
        <v>1.0</v>
      </c>
      <c r="E41" s="8" t="s">
        <v>48</v>
      </c>
      <c r="F41" s="8" t="s">
        <v>106</v>
      </c>
      <c r="G41" s="8" t="s">
        <v>114</v>
      </c>
      <c r="H41" s="5" t="s">
        <v>52</v>
      </c>
      <c r="I41" s="29">
        <v>46281.0</v>
      </c>
      <c r="J41" s="5" t="s">
        <v>54</v>
      </c>
      <c r="K41" s="23" t="s">
        <v>109</v>
      </c>
      <c r="L41" s="30">
        <v>2605105.0</v>
      </c>
    </row>
    <row r="42" ht="18.75" customHeight="1">
      <c r="A42" s="5" t="s">
        <v>104</v>
      </c>
      <c r="B42" s="6" t="s">
        <v>112</v>
      </c>
      <c r="C42" s="8" t="s">
        <v>36</v>
      </c>
      <c r="D42" s="26">
        <v>1.0</v>
      </c>
      <c r="E42" s="8" t="s">
        <v>48</v>
      </c>
      <c r="F42" s="8" t="s">
        <v>106</v>
      </c>
      <c r="G42" s="8" t="s">
        <v>114</v>
      </c>
      <c r="H42" s="5" t="s">
        <v>52</v>
      </c>
      <c r="I42" s="29">
        <v>46281.0</v>
      </c>
      <c r="J42" s="5" t="s">
        <v>54</v>
      </c>
      <c r="K42" s="23" t="s">
        <v>109</v>
      </c>
      <c r="L42" s="31">
        <v>2506106.0</v>
      </c>
    </row>
    <row r="43" ht="18.75" customHeight="1">
      <c r="A43" s="5" t="s">
        <v>104</v>
      </c>
      <c r="B43" s="6" t="s">
        <v>112</v>
      </c>
      <c r="C43" s="8" t="s">
        <v>63</v>
      </c>
      <c r="D43" s="26">
        <v>1.0</v>
      </c>
      <c r="E43" s="8" t="s">
        <v>48</v>
      </c>
      <c r="F43" s="8" t="s">
        <v>106</v>
      </c>
      <c r="G43" s="8" t="s">
        <v>114</v>
      </c>
      <c r="H43" s="5" t="s">
        <v>52</v>
      </c>
      <c r="I43" s="29">
        <v>46281.0</v>
      </c>
      <c r="J43" s="5" t="s">
        <v>54</v>
      </c>
      <c r="K43" s="23" t="s">
        <v>109</v>
      </c>
      <c r="L43" s="30">
        <v>2605112.0</v>
      </c>
    </row>
    <row r="44" ht="18.75" customHeight="1">
      <c r="A44" s="8" t="s">
        <v>116</v>
      </c>
      <c r="B44" s="8" t="s">
        <v>116</v>
      </c>
      <c r="C44" s="8" t="s">
        <v>117</v>
      </c>
      <c r="D44" s="26">
        <v>1.0</v>
      </c>
      <c r="E44" s="5" t="s">
        <v>95</v>
      </c>
      <c r="F44" s="22" t="s">
        <v>83</v>
      </c>
      <c r="G44" s="8" t="s">
        <v>116</v>
      </c>
      <c r="H44" s="32" t="s">
        <v>116</v>
      </c>
      <c r="I44" s="8" t="s">
        <v>116</v>
      </c>
      <c r="J44" s="32" t="s">
        <v>116</v>
      </c>
      <c r="K44" s="32" t="s">
        <v>85</v>
      </c>
      <c r="L44" s="10"/>
    </row>
    <row r="45" ht="18.75" customHeight="1">
      <c r="A45" s="5" t="s">
        <v>104</v>
      </c>
      <c r="B45" s="6" t="s">
        <v>118</v>
      </c>
      <c r="C45" s="6" t="s">
        <v>58</v>
      </c>
      <c r="D45" s="25">
        <v>1.0</v>
      </c>
      <c r="E45" s="8" t="s">
        <v>48</v>
      </c>
      <c r="F45" s="8" t="s">
        <v>119</v>
      </c>
      <c r="G45" s="6" t="s">
        <v>120</v>
      </c>
      <c r="H45" s="23" t="s">
        <v>52</v>
      </c>
      <c r="I45" s="29">
        <v>46092.0</v>
      </c>
      <c r="J45" s="23" t="s">
        <v>54</v>
      </c>
      <c r="K45" s="23" t="s">
        <v>109</v>
      </c>
      <c r="L45" s="16"/>
    </row>
    <row r="46" ht="18.75" customHeight="1">
      <c r="A46" s="5" t="s">
        <v>104</v>
      </c>
      <c r="B46" s="6" t="s">
        <v>118</v>
      </c>
      <c r="C46" s="6" t="s">
        <v>58</v>
      </c>
      <c r="D46" s="25">
        <v>1.0</v>
      </c>
      <c r="E46" s="8" t="s">
        <v>48</v>
      </c>
      <c r="F46" s="8" t="s">
        <v>119</v>
      </c>
      <c r="G46" s="6" t="s">
        <v>120</v>
      </c>
      <c r="H46" s="23" t="s">
        <v>52</v>
      </c>
      <c r="I46" s="29">
        <v>46092.0</v>
      </c>
      <c r="J46" s="23" t="s">
        <v>54</v>
      </c>
      <c r="K46" s="23" t="s">
        <v>109</v>
      </c>
      <c r="L46" s="16"/>
    </row>
    <row r="47" ht="18.75" customHeight="1">
      <c r="A47" s="5" t="s">
        <v>104</v>
      </c>
      <c r="B47" s="6"/>
      <c r="C47" s="8" t="s">
        <v>121</v>
      </c>
      <c r="D47" s="26">
        <v>5.0</v>
      </c>
      <c r="E47" s="8" t="s">
        <v>48</v>
      </c>
      <c r="F47" s="6" t="s">
        <v>122</v>
      </c>
      <c r="G47" s="19"/>
      <c r="H47" s="15"/>
      <c r="I47" s="33"/>
      <c r="J47" s="23" t="s">
        <v>54</v>
      </c>
      <c r="K47" s="34" t="s">
        <v>123</v>
      </c>
      <c r="L47" s="10"/>
    </row>
    <row r="48" ht="18.75" customHeight="1">
      <c r="A48" s="5" t="s">
        <v>104</v>
      </c>
      <c r="B48" s="5"/>
      <c r="C48" s="6" t="s">
        <v>35</v>
      </c>
      <c r="D48" s="25">
        <v>1.0</v>
      </c>
      <c r="E48" s="8" t="s">
        <v>48</v>
      </c>
      <c r="F48" s="6" t="s">
        <v>122</v>
      </c>
      <c r="G48" s="5"/>
      <c r="H48" s="24"/>
      <c r="I48" s="5"/>
      <c r="J48" s="23" t="s">
        <v>54</v>
      </c>
      <c r="K48" s="34" t="s">
        <v>123</v>
      </c>
      <c r="L48" s="16"/>
    </row>
    <row r="49" ht="18.75" customHeight="1">
      <c r="A49" s="8" t="s">
        <v>124</v>
      </c>
      <c r="B49" s="8" t="s">
        <v>125</v>
      </c>
      <c r="C49" s="8" t="s">
        <v>26</v>
      </c>
      <c r="D49" s="26">
        <v>1.0</v>
      </c>
      <c r="E49" s="8" t="s">
        <v>16</v>
      </c>
      <c r="F49" s="8" t="s">
        <v>119</v>
      </c>
      <c r="G49" s="8" t="s">
        <v>126</v>
      </c>
      <c r="H49" s="5" t="s">
        <v>52</v>
      </c>
      <c r="I49" s="35">
        <v>46315.0</v>
      </c>
      <c r="J49" s="23" t="s">
        <v>54</v>
      </c>
      <c r="K49" s="9" t="s">
        <v>77</v>
      </c>
      <c r="L49" s="10"/>
    </row>
    <row r="50" ht="18.75" customHeight="1">
      <c r="A50" s="8" t="s">
        <v>124</v>
      </c>
      <c r="B50" s="8" t="s">
        <v>127</v>
      </c>
      <c r="C50" s="6" t="s">
        <v>26</v>
      </c>
      <c r="D50" s="25">
        <v>1.0</v>
      </c>
      <c r="E50" s="8" t="s">
        <v>16</v>
      </c>
      <c r="F50" s="8" t="s">
        <v>119</v>
      </c>
      <c r="G50" s="6" t="s">
        <v>128</v>
      </c>
      <c r="H50" s="5" t="s">
        <v>52</v>
      </c>
      <c r="I50" s="35">
        <v>46315.0</v>
      </c>
      <c r="J50" s="23" t="s">
        <v>54</v>
      </c>
      <c r="K50" s="9" t="s">
        <v>129</v>
      </c>
      <c r="L50" s="16"/>
    </row>
    <row r="51" ht="18.75" customHeight="1">
      <c r="A51" s="8" t="s">
        <v>124</v>
      </c>
      <c r="B51" s="8" t="s">
        <v>130</v>
      </c>
      <c r="C51" s="8" t="s">
        <v>37</v>
      </c>
      <c r="D51" s="26">
        <v>1.0</v>
      </c>
      <c r="E51" s="8" t="s">
        <v>16</v>
      </c>
      <c r="F51" s="8" t="s">
        <v>131</v>
      </c>
      <c r="G51" s="19"/>
      <c r="H51" s="5" t="s">
        <v>52</v>
      </c>
      <c r="I51" s="35">
        <v>46332.0</v>
      </c>
      <c r="J51" s="32" t="s">
        <v>54</v>
      </c>
      <c r="K51" s="9" t="s">
        <v>132</v>
      </c>
      <c r="L51" s="10"/>
    </row>
    <row r="52" ht="18.75" customHeight="1">
      <c r="A52" s="8" t="s">
        <v>124</v>
      </c>
      <c r="B52" s="6" t="s">
        <v>133</v>
      </c>
      <c r="C52" s="6" t="s">
        <v>26</v>
      </c>
      <c r="D52" s="25">
        <v>1.0</v>
      </c>
      <c r="E52" s="8" t="s">
        <v>48</v>
      </c>
      <c r="F52" s="8" t="s">
        <v>119</v>
      </c>
      <c r="G52" s="6" t="s">
        <v>134</v>
      </c>
      <c r="H52" s="5" t="s">
        <v>52</v>
      </c>
      <c r="I52" s="35">
        <v>46323.0</v>
      </c>
      <c r="J52" s="32" t="s">
        <v>54</v>
      </c>
      <c r="K52" s="23" t="s">
        <v>109</v>
      </c>
      <c r="L52" s="16"/>
    </row>
    <row r="53" ht="18.75" customHeight="1">
      <c r="A53" s="8" t="s">
        <v>124</v>
      </c>
      <c r="B53" s="19"/>
      <c r="C53" s="8" t="s">
        <v>29</v>
      </c>
      <c r="D53" s="26">
        <v>1.0</v>
      </c>
      <c r="E53" s="6" t="s">
        <v>16</v>
      </c>
      <c r="F53" s="8" t="s">
        <v>135</v>
      </c>
      <c r="G53" s="8" t="s">
        <v>136</v>
      </c>
      <c r="H53" s="5" t="s">
        <v>52</v>
      </c>
      <c r="I53" s="35">
        <v>46332.0</v>
      </c>
      <c r="J53" s="32" t="s">
        <v>54</v>
      </c>
      <c r="K53" s="9" t="s">
        <v>137</v>
      </c>
      <c r="L53" s="10"/>
    </row>
    <row r="54" ht="18.75" customHeight="1">
      <c r="A54" s="6" t="s">
        <v>138</v>
      </c>
      <c r="B54" s="5"/>
      <c r="C54" s="6" t="s">
        <v>43</v>
      </c>
      <c r="D54" s="25">
        <v>10.0</v>
      </c>
      <c r="E54" s="8" t="s">
        <v>48</v>
      </c>
      <c r="F54" s="6" t="s">
        <v>122</v>
      </c>
      <c r="G54" s="5"/>
      <c r="H54" s="23" t="s">
        <v>52</v>
      </c>
      <c r="I54" s="5"/>
      <c r="J54" s="23" t="s">
        <v>54</v>
      </c>
      <c r="K54" s="32" t="s">
        <v>123</v>
      </c>
      <c r="L54" s="16"/>
    </row>
    <row r="55" ht="18.75" customHeight="1">
      <c r="A55" s="6" t="s">
        <v>138</v>
      </c>
      <c r="B55" s="19"/>
      <c r="C55" s="8" t="s">
        <v>47</v>
      </c>
      <c r="D55" s="26">
        <v>3.0</v>
      </c>
      <c r="E55" s="8" t="s">
        <v>48</v>
      </c>
      <c r="F55" s="6" t="s">
        <v>122</v>
      </c>
      <c r="G55" s="19"/>
      <c r="H55" s="23" t="s">
        <v>52</v>
      </c>
      <c r="I55" s="33"/>
      <c r="J55" s="32" t="s">
        <v>54</v>
      </c>
      <c r="K55" s="32" t="s">
        <v>123</v>
      </c>
      <c r="L55" s="10"/>
    </row>
    <row r="56" ht="18.75" customHeight="1">
      <c r="A56" s="6" t="s">
        <v>138</v>
      </c>
      <c r="B56" s="5"/>
      <c r="C56" s="8" t="s">
        <v>49</v>
      </c>
      <c r="D56" s="25">
        <v>2.0</v>
      </c>
      <c r="E56" s="8" t="s">
        <v>48</v>
      </c>
      <c r="F56" s="6" t="s">
        <v>122</v>
      </c>
      <c r="G56" s="19"/>
      <c r="H56" s="23" t="s">
        <v>52</v>
      </c>
      <c r="I56" s="33"/>
      <c r="J56" s="32" t="s">
        <v>54</v>
      </c>
      <c r="K56" s="32" t="s">
        <v>123</v>
      </c>
      <c r="L56" s="16"/>
    </row>
    <row r="57" ht="18.75" customHeight="1">
      <c r="A57" s="6" t="s">
        <v>139</v>
      </c>
      <c r="B57" s="19"/>
      <c r="C57" s="6" t="s">
        <v>58</v>
      </c>
      <c r="D57" s="26">
        <v>4.0</v>
      </c>
      <c r="E57" s="8" t="s">
        <v>48</v>
      </c>
      <c r="F57" s="6" t="s">
        <v>122</v>
      </c>
      <c r="G57" s="19"/>
      <c r="H57" s="23" t="s">
        <v>52</v>
      </c>
      <c r="I57" s="33"/>
      <c r="J57" s="32" t="s">
        <v>54</v>
      </c>
      <c r="K57" s="32" t="s">
        <v>123</v>
      </c>
      <c r="L57" s="10"/>
    </row>
    <row r="58" ht="18.75" customHeight="1">
      <c r="A58" s="6" t="s">
        <v>138</v>
      </c>
      <c r="B58" s="6" t="s">
        <v>118</v>
      </c>
      <c r="C58" s="6" t="s">
        <v>59</v>
      </c>
      <c r="D58" s="25">
        <v>2.0</v>
      </c>
      <c r="E58" s="8" t="s">
        <v>48</v>
      </c>
      <c r="F58" s="8" t="s">
        <v>119</v>
      </c>
      <c r="G58" s="6" t="s">
        <v>120</v>
      </c>
      <c r="H58" s="23" t="s">
        <v>52</v>
      </c>
      <c r="I58" s="29">
        <v>46092.0</v>
      </c>
      <c r="J58" s="32" t="s">
        <v>54</v>
      </c>
      <c r="K58" s="23" t="s">
        <v>109</v>
      </c>
      <c r="L58" s="16"/>
    </row>
    <row r="59" ht="18.75" customHeight="1">
      <c r="A59" s="6" t="s">
        <v>138</v>
      </c>
      <c r="B59" s="19"/>
      <c r="C59" s="8" t="s">
        <v>62</v>
      </c>
      <c r="D59" s="26">
        <v>2.0</v>
      </c>
      <c r="E59" s="8" t="s">
        <v>48</v>
      </c>
      <c r="F59" s="6" t="s">
        <v>122</v>
      </c>
      <c r="G59" s="19"/>
      <c r="H59" s="23" t="s">
        <v>52</v>
      </c>
      <c r="I59" s="33"/>
      <c r="J59" s="32" t="s">
        <v>54</v>
      </c>
      <c r="K59" s="32" t="s">
        <v>123</v>
      </c>
      <c r="L59" s="10"/>
    </row>
    <row r="60" ht="18.75" customHeight="1">
      <c r="A60" s="6" t="s">
        <v>138</v>
      </c>
      <c r="B60" s="6" t="s">
        <v>140</v>
      </c>
      <c r="C60" s="6" t="s">
        <v>68</v>
      </c>
      <c r="D60" s="25">
        <v>1.0</v>
      </c>
      <c r="E60" s="8" t="s">
        <v>48</v>
      </c>
      <c r="F60" s="8" t="s">
        <v>119</v>
      </c>
      <c r="G60" s="8" t="s">
        <v>141</v>
      </c>
      <c r="H60" s="23" t="s">
        <v>52</v>
      </c>
      <c r="I60" s="35">
        <v>46323.0</v>
      </c>
      <c r="J60" s="32" t="s">
        <v>54</v>
      </c>
      <c r="K60" s="23" t="s">
        <v>109</v>
      </c>
      <c r="L60" s="16"/>
    </row>
    <row r="61" ht="18.75" customHeight="1">
      <c r="A61" s="6" t="s">
        <v>138</v>
      </c>
      <c r="B61" s="6" t="s">
        <v>140</v>
      </c>
      <c r="C61" s="6" t="s">
        <v>68</v>
      </c>
      <c r="D61" s="25">
        <v>1.0</v>
      </c>
      <c r="E61" s="8" t="s">
        <v>48</v>
      </c>
      <c r="F61" s="8" t="s">
        <v>119</v>
      </c>
      <c r="G61" s="8" t="s">
        <v>141</v>
      </c>
      <c r="H61" s="23" t="s">
        <v>52</v>
      </c>
      <c r="I61" s="35">
        <v>46323.0</v>
      </c>
      <c r="J61" s="32" t="s">
        <v>54</v>
      </c>
      <c r="K61" s="23" t="s">
        <v>109</v>
      </c>
      <c r="L61" s="16"/>
    </row>
    <row r="62" ht="18.75" customHeight="1">
      <c r="A62" s="6" t="s">
        <v>138</v>
      </c>
      <c r="B62" s="19"/>
      <c r="C62" s="8" t="s">
        <v>23</v>
      </c>
      <c r="D62" s="26">
        <v>4.0</v>
      </c>
      <c r="E62" s="8" t="s">
        <v>48</v>
      </c>
      <c r="F62" s="6" t="s">
        <v>122</v>
      </c>
      <c r="G62" s="19"/>
      <c r="H62" s="23" t="s">
        <v>52</v>
      </c>
      <c r="I62" s="33"/>
      <c r="J62" s="32" t="s">
        <v>54</v>
      </c>
      <c r="K62" s="32" t="s">
        <v>123</v>
      </c>
      <c r="L62" s="10"/>
    </row>
    <row r="63" ht="18.75" customHeight="1">
      <c r="A63" s="6" t="s">
        <v>138</v>
      </c>
      <c r="B63" s="5"/>
      <c r="C63" s="6" t="s">
        <v>32</v>
      </c>
      <c r="D63" s="25">
        <v>1.0</v>
      </c>
      <c r="E63" s="8" t="s">
        <v>48</v>
      </c>
      <c r="F63" s="6" t="s">
        <v>122</v>
      </c>
      <c r="G63" s="19"/>
      <c r="H63" s="23" t="s">
        <v>52</v>
      </c>
      <c r="I63" s="33"/>
      <c r="J63" s="32" t="s">
        <v>54</v>
      </c>
      <c r="K63" s="32" t="s">
        <v>123</v>
      </c>
      <c r="L63" s="16"/>
    </row>
    <row r="64" ht="18.75" customHeight="1">
      <c r="A64" s="6" t="s">
        <v>138</v>
      </c>
      <c r="B64" s="19"/>
      <c r="C64" s="8" t="s">
        <v>33</v>
      </c>
      <c r="D64" s="26">
        <v>4.0</v>
      </c>
      <c r="E64" s="8" t="s">
        <v>48</v>
      </c>
      <c r="F64" s="6" t="s">
        <v>122</v>
      </c>
      <c r="G64" s="19"/>
      <c r="H64" s="23" t="s">
        <v>52</v>
      </c>
      <c r="I64" s="33"/>
      <c r="J64" s="32" t="s">
        <v>54</v>
      </c>
      <c r="K64" s="32" t="s">
        <v>123</v>
      </c>
      <c r="L64" s="10"/>
    </row>
    <row r="65" ht="18.75" customHeight="1">
      <c r="A65" s="6" t="s">
        <v>138</v>
      </c>
      <c r="B65" s="5"/>
      <c r="C65" s="6" t="s">
        <v>38</v>
      </c>
      <c r="D65" s="25">
        <v>2.0</v>
      </c>
      <c r="E65" s="8" t="s">
        <v>48</v>
      </c>
      <c r="F65" s="6" t="s">
        <v>122</v>
      </c>
      <c r="G65" s="19"/>
      <c r="H65" s="23" t="s">
        <v>52</v>
      </c>
      <c r="I65" s="33"/>
      <c r="J65" s="32" t="s">
        <v>54</v>
      </c>
      <c r="K65" s="32" t="s">
        <v>123</v>
      </c>
      <c r="L65" s="16"/>
    </row>
    <row r="66" ht="18.75" customHeight="1">
      <c r="A66" s="6" t="s">
        <v>138</v>
      </c>
      <c r="B66" s="19"/>
      <c r="C66" s="8" t="s">
        <v>42</v>
      </c>
      <c r="D66" s="26">
        <v>2.0</v>
      </c>
      <c r="E66" s="8" t="s">
        <v>48</v>
      </c>
      <c r="F66" s="6" t="s">
        <v>122</v>
      </c>
      <c r="G66" s="19"/>
      <c r="H66" s="23" t="s">
        <v>52</v>
      </c>
      <c r="I66" s="33"/>
      <c r="J66" s="32" t="s">
        <v>54</v>
      </c>
      <c r="K66" s="32" t="s">
        <v>123</v>
      </c>
      <c r="L66" s="10"/>
    </row>
    <row r="67" ht="18.75" customHeight="1">
      <c r="A67" s="6" t="s">
        <v>138</v>
      </c>
      <c r="B67" s="8" t="s">
        <v>140</v>
      </c>
      <c r="C67" s="6" t="s">
        <v>44</v>
      </c>
      <c r="D67" s="25">
        <v>1.0</v>
      </c>
      <c r="E67" s="8" t="s">
        <v>48</v>
      </c>
      <c r="F67" s="6" t="s">
        <v>119</v>
      </c>
      <c r="G67" s="8" t="s">
        <v>141</v>
      </c>
      <c r="H67" s="23" t="s">
        <v>52</v>
      </c>
      <c r="I67" s="35">
        <v>46323.0</v>
      </c>
      <c r="J67" s="32" t="s">
        <v>54</v>
      </c>
      <c r="K67" s="23" t="s">
        <v>109</v>
      </c>
      <c r="L67" s="16"/>
    </row>
    <row r="68" ht="18.75" customHeight="1">
      <c r="A68" s="6" t="s">
        <v>138</v>
      </c>
      <c r="B68" s="8" t="s">
        <v>140</v>
      </c>
      <c r="C68" s="8" t="s">
        <v>45</v>
      </c>
      <c r="D68" s="26">
        <v>1.0</v>
      </c>
      <c r="E68" s="8" t="s">
        <v>48</v>
      </c>
      <c r="F68" s="6" t="s">
        <v>119</v>
      </c>
      <c r="G68" s="8" t="s">
        <v>141</v>
      </c>
      <c r="H68" s="23" t="s">
        <v>52</v>
      </c>
      <c r="I68" s="35">
        <v>46323.0</v>
      </c>
      <c r="J68" s="32" t="s">
        <v>54</v>
      </c>
      <c r="K68" s="23" t="s">
        <v>109</v>
      </c>
      <c r="L68" s="10"/>
    </row>
    <row r="69" ht="18.75" customHeight="1">
      <c r="A69" s="6" t="s">
        <v>138</v>
      </c>
      <c r="B69" s="19"/>
      <c r="C69" s="8" t="s">
        <v>45</v>
      </c>
      <c r="D69" s="26">
        <v>2.0</v>
      </c>
      <c r="E69" s="8" t="s">
        <v>48</v>
      </c>
      <c r="F69" s="6" t="s">
        <v>122</v>
      </c>
      <c r="G69" s="19"/>
      <c r="H69" s="23" t="s">
        <v>52</v>
      </c>
      <c r="I69" s="33"/>
      <c r="J69" s="32" t="s">
        <v>54</v>
      </c>
      <c r="K69" s="32" t="s">
        <v>123</v>
      </c>
      <c r="L69" s="10"/>
    </row>
    <row r="70" ht="18.75" customHeight="1">
      <c r="A70" s="6" t="s">
        <v>138</v>
      </c>
      <c r="B70" s="6" t="s">
        <v>140</v>
      </c>
      <c r="C70" s="6" t="s">
        <v>53</v>
      </c>
      <c r="D70" s="25">
        <v>1.0</v>
      </c>
      <c r="E70" s="8" t="s">
        <v>48</v>
      </c>
      <c r="F70" s="6" t="s">
        <v>119</v>
      </c>
      <c r="G70" s="8" t="s">
        <v>141</v>
      </c>
      <c r="H70" s="23" t="s">
        <v>52</v>
      </c>
      <c r="I70" s="35">
        <v>46323.0</v>
      </c>
      <c r="J70" s="32" t="s">
        <v>54</v>
      </c>
      <c r="K70" s="23" t="s">
        <v>109</v>
      </c>
      <c r="L70" s="16"/>
    </row>
    <row r="71" ht="18.75" customHeight="1">
      <c r="A71" s="6" t="s">
        <v>138</v>
      </c>
      <c r="B71" s="6" t="s">
        <v>118</v>
      </c>
      <c r="C71" s="6" t="s">
        <v>53</v>
      </c>
      <c r="D71" s="25">
        <v>1.0</v>
      </c>
      <c r="E71" s="8" t="s">
        <v>48</v>
      </c>
      <c r="F71" s="6" t="s">
        <v>119</v>
      </c>
      <c r="G71" s="6" t="s">
        <v>120</v>
      </c>
      <c r="H71" s="23" t="s">
        <v>52</v>
      </c>
      <c r="I71" s="29">
        <v>46092.0</v>
      </c>
      <c r="J71" s="32" t="s">
        <v>54</v>
      </c>
      <c r="K71" s="23" t="s">
        <v>109</v>
      </c>
      <c r="L71" s="16"/>
    </row>
    <row r="72" ht="18.75" customHeight="1">
      <c r="A72" s="6" t="s">
        <v>138</v>
      </c>
      <c r="B72" s="6" t="s">
        <v>140</v>
      </c>
      <c r="C72" s="8" t="s">
        <v>64</v>
      </c>
      <c r="D72" s="26">
        <v>1.0</v>
      </c>
      <c r="E72" s="8" t="s">
        <v>48</v>
      </c>
      <c r="F72" s="7" t="s">
        <v>17</v>
      </c>
      <c r="G72" s="8" t="s">
        <v>141</v>
      </c>
      <c r="H72" s="23" t="s">
        <v>52</v>
      </c>
      <c r="I72" s="29">
        <v>46092.0</v>
      </c>
      <c r="J72" s="20" t="s">
        <v>142</v>
      </c>
      <c r="K72" s="20" t="s">
        <v>143</v>
      </c>
      <c r="L72" s="10"/>
    </row>
    <row r="73" ht="18.75" customHeight="1">
      <c r="A73" s="6" t="s">
        <v>138</v>
      </c>
      <c r="B73" s="8" t="s">
        <v>118</v>
      </c>
      <c r="C73" s="8" t="s">
        <v>64</v>
      </c>
      <c r="D73" s="26">
        <v>1.0</v>
      </c>
      <c r="E73" s="8" t="s">
        <v>48</v>
      </c>
      <c r="F73" s="7" t="s">
        <v>17</v>
      </c>
      <c r="G73" s="8" t="s">
        <v>120</v>
      </c>
      <c r="H73" s="23" t="s">
        <v>52</v>
      </c>
      <c r="I73" s="35">
        <v>46323.0</v>
      </c>
      <c r="J73" s="20" t="s">
        <v>91</v>
      </c>
      <c r="K73" s="20" t="s">
        <v>144</v>
      </c>
      <c r="L73" s="36"/>
    </row>
    <row r="74" ht="18.75" customHeight="1">
      <c r="A74" s="6" t="s">
        <v>138</v>
      </c>
      <c r="B74" s="5"/>
      <c r="C74" s="6" t="s">
        <v>72</v>
      </c>
      <c r="D74" s="25">
        <v>6.0</v>
      </c>
      <c r="E74" s="8" t="s">
        <v>48</v>
      </c>
      <c r="F74" s="6" t="s">
        <v>122</v>
      </c>
      <c r="G74" s="19"/>
      <c r="H74" s="23" t="s">
        <v>52</v>
      </c>
      <c r="I74" s="33"/>
      <c r="J74" s="32" t="s">
        <v>54</v>
      </c>
      <c r="K74" s="32" t="s">
        <v>123</v>
      </c>
      <c r="L74" s="16"/>
    </row>
    <row r="75" ht="18.75" customHeight="1">
      <c r="A75" s="8" t="s">
        <v>145</v>
      </c>
      <c r="B75" s="19"/>
      <c r="C75" s="8" t="s">
        <v>69</v>
      </c>
      <c r="D75" s="26">
        <v>2.0</v>
      </c>
      <c r="E75" s="8" t="s">
        <v>48</v>
      </c>
      <c r="F75" s="6" t="s">
        <v>122</v>
      </c>
      <c r="G75" s="19"/>
      <c r="H75" s="23" t="s">
        <v>52</v>
      </c>
      <c r="I75" s="19"/>
      <c r="J75" s="32" t="s">
        <v>54</v>
      </c>
      <c r="K75" s="32" t="s">
        <v>146</v>
      </c>
      <c r="L75" s="10"/>
    </row>
    <row r="76" ht="18.75" customHeight="1">
      <c r="A76" s="8" t="s">
        <v>145</v>
      </c>
      <c r="B76" s="5"/>
      <c r="C76" s="6" t="s">
        <v>70</v>
      </c>
      <c r="D76" s="25">
        <v>2.0</v>
      </c>
      <c r="E76" s="8" t="s">
        <v>48</v>
      </c>
      <c r="F76" s="6" t="s">
        <v>122</v>
      </c>
      <c r="H76" s="23" t="s">
        <v>52</v>
      </c>
      <c r="I76" s="19"/>
      <c r="J76" s="32" t="s">
        <v>54</v>
      </c>
      <c r="K76" s="32" t="s">
        <v>146</v>
      </c>
      <c r="L76" s="16"/>
    </row>
    <row r="77" ht="18.75" customHeight="1">
      <c r="A77" s="8" t="s">
        <v>145</v>
      </c>
      <c r="B77" s="19"/>
      <c r="C77" s="6" t="s">
        <v>71</v>
      </c>
      <c r="D77" s="26">
        <v>1.0</v>
      </c>
      <c r="E77" s="8" t="s">
        <v>48</v>
      </c>
      <c r="F77" s="6" t="s">
        <v>122</v>
      </c>
      <c r="G77" s="19"/>
      <c r="H77" s="23" t="s">
        <v>52</v>
      </c>
      <c r="I77" s="19"/>
      <c r="J77" s="32" t="s">
        <v>54</v>
      </c>
      <c r="K77" s="32" t="s">
        <v>146</v>
      </c>
      <c r="L77" s="10"/>
    </row>
    <row r="78" ht="18.75" customHeight="1">
      <c r="A78" s="8" t="s">
        <v>145</v>
      </c>
      <c r="B78" s="5"/>
      <c r="C78" s="6" t="s">
        <v>45</v>
      </c>
      <c r="D78" s="25">
        <v>1.0</v>
      </c>
      <c r="E78" s="8" t="s">
        <v>48</v>
      </c>
      <c r="F78" s="6" t="s">
        <v>122</v>
      </c>
      <c r="G78" s="19"/>
      <c r="H78" s="23" t="s">
        <v>52</v>
      </c>
      <c r="I78" s="19"/>
      <c r="J78" s="32" t="s">
        <v>54</v>
      </c>
      <c r="K78" s="32" t="s">
        <v>146</v>
      </c>
      <c r="L78" s="16"/>
    </row>
    <row r="79" ht="18.75" customHeight="1">
      <c r="A79" s="8" t="s">
        <v>145</v>
      </c>
      <c r="B79" s="19"/>
      <c r="C79" s="8" t="s">
        <v>50</v>
      </c>
      <c r="D79" s="26">
        <v>1.0</v>
      </c>
      <c r="E79" s="8" t="s">
        <v>48</v>
      </c>
      <c r="F79" s="6" t="s">
        <v>122</v>
      </c>
      <c r="G79" s="19"/>
      <c r="H79" s="23" t="s">
        <v>52</v>
      </c>
      <c r="I79" s="19"/>
      <c r="J79" s="32" t="s">
        <v>54</v>
      </c>
      <c r="K79" s="32" t="s">
        <v>146</v>
      </c>
      <c r="L79" s="10"/>
    </row>
    <row r="80" ht="21.75" customHeight="1">
      <c r="A80" s="8" t="s">
        <v>147</v>
      </c>
      <c r="B80" s="8"/>
      <c r="C80" s="8" t="s">
        <v>33</v>
      </c>
      <c r="D80" s="8">
        <v>4.0</v>
      </c>
      <c r="E80" s="8" t="s">
        <v>48</v>
      </c>
      <c r="F80" s="8" t="s">
        <v>148</v>
      </c>
      <c r="G80" s="19"/>
      <c r="H80" s="23" t="s">
        <v>52</v>
      </c>
      <c r="I80" s="19"/>
      <c r="J80" s="32" t="s">
        <v>54</v>
      </c>
      <c r="K80" s="32" t="s">
        <v>146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75" customHeight="1">
      <c r="A81" s="8" t="s">
        <v>147</v>
      </c>
      <c r="B81" s="8"/>
      <c r="C81" s="8" t="s">
        <v>42</v>
      </c>
      <c r="D81" s="8">
        <v>2.0</v>
      </c>
      <c r="E81" s="8" t="s">
        <v>48</v>
      </c>
      <c r="F81" s="8" t="s">
        <v>148</v>
      </c>
      <c r="G81" s="19"/>
      <c r="H81" s="23" t="s">
        <v>52</v>
      </c>
      <c r="I81" s="19"/>
      <c r="J81" s="32" t="s">
        <v>54</v>
      </c>
      <c r="K81" s="32" t="s">
        <v>146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75" customHeight="1">
      <c r="A82" s="8" t="s">
        <v>147</v>
      </c>
      <c r="B82" s="8"/>
      <c r="C82" s="8" t="s">
        <v>44</v>
      </c>
      <c r="D82" s="8">
        <v>2.0</v>
      </c>
      <c r="E82" s="8" t="s">
        <v>48</v>
      </c>
      <c r="F82" s="8" t="s">
        <v>148</v>
      </c>
      <c r="G82" s="19"/>
      <c r="H82" s="23" t="s">
        <v>52</v>
      </c>
      <c r="I82" s="19"/>
      <c r="J82" s="32" t="s">
        <v>54</v>
      </c>
      <c r="K82" s="32" t="s">
        <v>146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75" customHeight="1">
      <c r="A83" s="8" t="s">
        <v>147</v>
      </c>
      <c r="B83" s="8"/>
      <c r="C83" s="8" t="s">
        <v>63</v>
      </c>
      <c r="D83" s="8">
        <v>1.0</v>
      </c>
      <c r="E83" s="8" t="s">
        <v>48</v>
      </c>
      <c r="F83" s="8" t="s">
        <v>148</v>
      </c>
      <c r="G83" s="19"/>
      <c r="H83" s="23" t="s">
        <v>52</v>
      </c>
      <c r="I83" s="19"/>
      <c r="J83" s="32" t="s">
        <v>54</v>
      </c>
      <c r="K83" s="32" t="s">
        <v>146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75" customHeight="1">
      <c r="A84" s="8" t="s">
        <v>147</v>
      </c>
      <c r="B84" s="8"/>
      <c r="C84" s="8" t="s">
        <v>65</v>
      </c>
      <c r="D84" s="8">
        <v>1.0</v>
      </c>
      <c r="E84" s="8" t="s">
        <v>48</v>
      </c>
      <c r="F84" s="8" t="s">
        <v>148</v>
      </c>
      <c r="G84" s="19"/>
      <c r="H84" s="23" t="s">
        <v>52</v>
      </c>
      <c r="I84" s="19"/>
      <c r="J84" s="32" t="s">
        <v>54</v>
      </c>
      <c r="K84" s="32" t="s">
        <v>146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75" customHeight="1">
      <c r="A85" s="8" t="s">
        <v>149</v>
      </c>
      <c r="B85" s="8"/>
      <c r="C85" s="8" t="s">
        <v>26</v>
      </c>
      <c r="D85" s="8">
        <v>1.0</v>
      </c>
      <c r="E85" s="8" t="s">
        <v>48</v>
      </c>
      <c r="F85" s="8" t="s">
        <v>148</v>
      </c>
      <c r="G85" s="19"/>
      <c r="H85" s="23" t="s">
        <v>52</v>
      </c>
      <c r="I85" s="19"/>
      <c r="J85" s="32" t="s">
        <v>54</v>
      </c>
      <c r="K85" s="32" t="s">
        <v>146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75" customHeight="1">
      <c r="A86" s="8" t="s">
        <v>104</v>
      </c>
      <c r="B86" s="37"/>
      <c r="C86" s="8" t="s">
        <v>43</v>
      </c>
      <c r="D86" s="8">
        <v>2.0</v>
      </c>
      <c r="E86" s="8" t="s">
        <v>48</v>
      </c>
      <c r="F86" s="8" t="s">
        <v>148</v>
      </c>
      <c r="G86" s="37"/>
      <c r="H86" s="38" t="s">
        <v>52</v>
      </c>
      <c r="I86" s="37"/>
      <c r="J86" s="32" t="s">
        <v>54</v>
      </c>
      <c r="K86" s="32" t="s">
        <v>146</v>
      </c>
      <c r="L86" s="39"/>
    </row>
    <row r="87" ht="21.75" customHeight="1">
      <c r="A87" s="8" t="s">
        <v>150</v>
      </c>
      <c r="B87" s="37"/>
      <c r="C87" s="8" t="s">
        <v>59</v>
      </c>
      <c r="D87" s="8">
        <v>2.0</v>
      </c>
      <c r="E87" s="8" t="s">
        <v>48</v>
      </c>
      <c r="F87" s="8" t="s">
        <v>148</v>
      </c>
      <c r="G87" s="37"/>
      <c r="H87" s="38" t="s">
        <v>52</v>
      </c>
      <c r="I87" s="37"/>
      <c r="J87" s="32" t="s">
        <v>54</v>
      </c>
      <c r="K87" s="32" t="s">
        <v>146</v>
      </c>
      <c r="L87" s="39"/>
    </row>
    <row r="88" ht="21.75" customHeight="1">
      <c r="A88" s="8" t="s">
        <v>150</v>
      </c>
      <c r="B88" s="37"/>
      <c r="C88" s="8" t="s">
        <v>151</v>
      </c>
      <c r="D88" s="8">
        <v>4.0</v>
      </c>
      <c r="E88" s="8" t="s">
        <v>48</v>
      </c>
      <c r="F88" s="8" t="s">
        <v>148</v>
      </c>
      <c r="G88" s="37"/>
      <c r="H88" s="38" t="s">
        <v>52</v>
      </c>
      <c r="I88" s="37"/>
      <c r="J88" s="32" t="s">
        <v>54</v>
      </c>
      <c r="K88" s="32" t="s">
        <v>146</v>
      </c>
      <c r="L88" s="39"/>
    </row>
    <row r="89" ht="21.75" customHeight="1">
      <c r="A89" s="8" t="s">
        <v>150</v>
      </c>
      <c r="B89" s="37"/>
      <c r="C89" s="8" t="s">
        <v>36</v>
      </c>
      <c r="D89" s="8">
        <v>2.0</v>
      </c>
      <c r="E89" s="8" t="s">
        <v>48</v>
      </c>
      <c r="F89" s="8" t="s">
        <v>148</v>
      </c>
      <c r="G89" s="37"/>
      <c r="H89" s="38" t="s">
        <v>52</v>
      </c>
      <c r="I89" s="37"/>
      <c r="J89" s="32" t="s">
        <v>54</v>
      </c>
      <c r="K89" s="32" t="s">
        <v>146</v>
      </c>
      <c r="L89" s="39"/>
    </row>
    <row r="90" ht="21.75" customHeight="1">
      <c r="A90" s="8" t="s">
        <v>150</v>
      </c>
      <c r="B90" s="37"/>
      <c r="C90" s="8" t="s">
        <v>42</v>
      </c>
      <c r="D90" s="8">
        <v>2.0</v>
      </c>
      <c r="E90" s="8" t="s">
        <v>48</v>
      </c>
      <c r="F90" s="8" t="s">
        <v>148</v>
      </c>
      <c r="G90" s="37"/>
      <c r="H90" s="38" t="s">
        <v>52</v>
      </c>
      <c r="I90" s="37"/>
      <c r="J90" s="32" t="s">
        <v>54</v>
      </c>
      <c r="K90" s="32" t="s">
        <v>146</v>
      </c>
      <c r="L90" s="39"/>
    </row>
    <row r="91" ht="21.75" customHeight="1">
      <c r="A91" s="8" t="s">
        <v>150</v>
      </c>
      <c r="B91" s="37"/>
      <c r="C91" s="8" t="s">
        <v>44</v>
      </c>
      <c r="D91" s="8">
        <v>1.0</v>
      </c>
      <c r="E91" s="8" t="s">
        <v>48</v>
      </c>
      <c r="F91" s="8" t="s">
        <v>148</v>
      </c>
      <c r="G91" s="37"/>
      <c r="H91" s="38" t="s">
        <v>52</v>
      </c>
      <c r="I91" s="37"/>
      <c r="J91" s="32" t="s">
        <v>54</v>
      </c>
      <c r="K91" s="32" t="s">
        <v>146</v>
      </c>
      <c r="L91" s="39"/>
    </row>
    <row r="92" ht="21.75" customHeight="1">
      <c r="A92" s="8" t="s">
        <v>150</v>
      </c>
      <c r="B92" s="37"/>
      <c r="C92" s="8" t="s">
        <v>45</v>
      </c>
      <c r="D92" s="8">
        <v>1.0</v>
      </c>
      <c r="E92" s="8" t="s">
        <v>48</v>
      </c>
      <c r="F92" s="8" t="s">
        <v>148</v>
      </c>
      <c r="G92" s="37"/>
      <c r="H92" s="38" t="s">
        <v>52</v>
      </c>
      <c r="I92" s="37"/>
      <c r="J92" s="32" t="s">
        <v>54</v>
      </c>
      <c r="K92" s="32" t="s">
        <v>146</v>
      </c>
      <c r="L92" s="39"/>
    </row>
    <row r="93" ht="21.75" customHeight="1">
      <c r="A93" s="8" t="s">
        <v>150</v>
      </c>
      <c r="B93" s="37"/>
      <c r="C93" s="8" t="s">
        <v>60</v>
      </c>
      <c r="D93" s="8">
        <v>2.0</v>
      </c>
      <c r="E93" s="8" t="s">
        <v>48</v>
      </c>
      <c r="F93" s="8" t="s">
        <v>148</v>
      </c>
      <c r="G93" s="37"/>
      <c r="H93" s="38" t="s">
        <v>52</v>
      </c>
      <c r="I93" s="37"/>
      <c r="J93" s="32" t="s">
        <v>54</v>
      </c>
      <c r="K93" s="32" t="s">
        <v>146</v>
      </c>
      <c r="L93" s="39"/>
    </row>
    <row r="94" ht="21.75" customHeight="1">
      <c r="A94" s="8" t="s">
        <v>150</v>
      </c>
      <c r="B94" s="37"/>
      <c r="C94" s="8" t="s">
        <v>64</v>
      </c>
      <c r="D94" s="8">
        <v>1.0</v>
      </c>
      <c r="E94" s="8" t="s">
        <v>48</v>
      </c>
      <c r="F94" s="8" t="s">
        <v>148</v>
      </c>
      <c r="G94" s="37"/>
      <c r="H94" s="38" t="s">
        <v>52</v>
      </c>
      <c r="I94" s="37"/>
      <c r="J94" s="32" t="s">
        <v>54</v>
      </c>
      <c r="K94" s="32" t="s">
        <v>146</v>
      </c>
      <c r="L94" s="39"/>
    </row>
    <row r="95" ht="21.75" customHeight="1">
      <c r="A95" s="8" t="s">
        <v>150</v>
      </c>
      <c r="B95" s="37"/>
      <c r="C95" s="8" t="s">
        <v>65</v>
      </c>
      <c r="D95" s="8">
        <v>1.0</v>
      </c>
      <c r="E95" s="8" t="s">
        <v>48</v>
      </c>
      <c r="F95" s="8" t="s">
        <v>148</v>
      </c>
      <c r="G95" s="37"/>
      <c r="H95" s="38"/>
      <c r="I95" s="37"/>
      <c r="J95" s="40"/>
      <c r="K95" s="40"/>
      <c r="L95" s="39"/>
    </row>
    <row r="96" ht="21.75" customHeight="1">
      <c r="A96" s="37"/>
      <c r="B96" s="37"/>
      <c r="C96" s="37"/>
      <c r="D96" s="41"/>
      <c r="E96" s="37"/>
      <c r="F96" s="37"/>
      <c r="G96" s="37"/>
      <c r="H96" s="37"/>
      <c r="I96" s="37"/>
      <c r="J96" s="37"/>
      <c r="K96" s="37"/>
      <c r="L96" s="39"/>
    </row>
    <row r="97" ht="21.75" customHeight="1">
      <c r="A97" s="42" t="s">
        <v>152</v>
      </c>
      <c r="B97" s="42"/>
      <c r="C97" s="42"/>
      <c r="D97" s="43">
        <f>SUM(D4:D96)</f>
        <v>142</v>
      </c>
      <c r="E97" s="42"/>
      <c r="F97" s="42"/>
      <c r="G97" s="42"/>
      <c r="H97" s="42"/>
      <c r="I97" s="42"/>
      <c r="J97" s="42"/>
      <c r="K97" s="42"/>
      <c r="L97" s="39"/>
    </row>
    <row r="98"/>
    <row r="99"/>
    <row r="100"/>
    <row r="101">
      <c r="A101" s="44" t="s">
        <v>153</v>
      </c>
      <c r="B101" s="27" t="s">
        <v>154</v>
      </c>
    </row>
    <row r="102">
      <c r="A102" s="44" t="s">
        <v>155</v>
      </c>
      <c r="B102" s="27" t="s">
        <v>154</v>
      </c>
    </row>
    <row r="103">
      <c r="A103" s="27" t="s">
        <v>156</v>
      </c>
      <c r="B103" s="27">
        <v>250.0</v>
      </c>
    </row>
    <row r="104">
      <c r="A104" s="27" t="s">
        <v>157</v>
      </c>
      <c r="B104" s="27">
        <v>156.0</v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</sheetData>
  <autoFilter ref="$A$3:$L$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